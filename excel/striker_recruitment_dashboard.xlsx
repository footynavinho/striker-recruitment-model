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hnavm/Downloads/"/>
    </mc:Choice>
  </mc:AlternateContent>
  <xr:revisionPtr revIDLastSave="0" documentId="13_ncr:1_{17F0A094-8595-6246-BC70-5E92623CD55D}" xr6:coauthVersionLast="47" xr6:coauthVersionMax="47" xr10:uidLastSave="{00000000-0000-0000-0000-000000000000}"/>
  <bookViews>
    <workbookView xWindow="28800" yWindow="-2980" windowWidth="38400" windowHeight="20980" activeTab="3" xr2:uid="{4D244B3C-F2DD-154E-BBC0-13F6D3298EDB}"/>
  </bookViews>
  <sheets>
    <sheet name="Raw_Data" sheetId="1" r:id="rId1"/>
    <sheet name="Normalized" sheetId="2" r:id="rId2"/>
    <sheet name="Archetype_Scores" sheetId="3" r:id="rId3"/>
    <sheet name="Player_Profile" sheetId="4" r:id="rId4"/>
    <sheet name="Shortlist_Comparison" sheetId="7" r:id="rId5"/>
  </sheets>
  <definedNames>
    <definedName name="Player_List">Archetype_Scores!$A$1:$A$50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H7" i="2"/>
  <c r="E5" i="4"/>
  <c r="E4" i="4"/>
  <c r="E3" i="4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2" i="2"/>
  <c r="O50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2" i="2"/>
  <c r="S3" i="2"/>
  <c r="D48" i="3" s="1"/>
  <c r="S4" i="2"/>
  <c r="D50" i="3" s="1"/>
  <c r="S5" i="2"/>
  <c r="D41" i="3" s="1"/>
  <c r="S6" i="2"/>
  <c r="D39" i="3" s="1"/>
  <c r="S7" i="2"/>
  <c r="D42" i="3" s="1"/>
  <c r="S8" i="2"/>
  <c r="D29" i="3" s="1"/>
  <c r="S9" i="2"/>
  <c r="D3" i="3" s="1"/>
  <c r="S10" i="2"/>
  <c r="D30" i="3" s="1"/>
  <c r="S11" i="2"/>
  <c r="D8" i="3" s="1"/>
  <c r="S12" i="2"/>
  <c r="D40" i="3" s="1"/>
  <c r="S13" i="2"/>
  <c r="D17" i="3" s="1"/>
  <c r="S14" i="2"/>
  <c r="D38" i="3" s="1"/>
  <c r="S15" i="2"/>
  <c r="D26" i="3" s="1"/>
  <c r="S16" i="2"/>
  <c r="D34" i="3" s="1"/>
  <c r="S17" i="2"/>
  <c r="D6" i="3" s="1"/>
  <c r="S18" i="2"/>
  <c r="D35" i="3" s="1"/>
  <c r="S19" i="2"/>
  <c r="D44" i="3" s="1"/>
  <c r="S20" i="2"/>
  <c r="D20" i="3" s="1"/>
  <c r="S21" i="2"/>
  <c r="D16" i="3" s="1"/>
  <c r="S22" i="2"/>
  <c r="D15" i="3" s="1"/>
  <c r="S23" i="2"/>
  <c r="D25" i="3" s="1"/>
  <c r="S24" i="2"/>
  <c r="D27" i="3" s="1"/>
  <c r="S25" i="2"/>
  <c r="D14" i="3" s="1"/>
  <c r="S26" i="2"/>
  <c r="D37" i="3" s="1"/>
  <c r="S27" i="2"/>
  <c r="D28" i="3" s="1"/>
  <c r="S28" i="2"/>
  <c r="D31" i="3" s="1"/>
  <c r="S29" i="2"/>
  <c r="D23" i="3" s="1"/>
  <c r="S30" i="2"/>
  <c r="D22" i="3" s="1"/>
  <c r="S31" i="2"/>
  <c r="D9" i="3" s="1"/>
  <c r="S32" i="2"/>
  <c r="D36" i="3" s="1"/>
  <c r="S33" i="2"/>
  <c r="D45" i="3" s="1"/>
  <c r="S34" i="2"/>
  <c r="D2" i="3" s="1"/>
  <c r="S35" i="2"/>
  <c r="D11" i="3" s="1"/>
  <c r="S36" i="2"/>
  <c r="D4" i="3" s="1"/>
  <c r="S37" i="2"/>
  <c r="D43" i="3" s="1"/>
  <c r="S38" i="2"/>
  <c r="D5" i="3" s="1"/>
  <c r="S39" i="2"/>
  <c r="D10" i="3" s="1"/>
  <c r="S40" i="2"/>
  <c r="D12" i="3" s="1"/>
  <c r="S41" i="2"/>
  <c r="D32" i="3" s="1"/>
  <c r="S42" i="2"/>
  <c r="D13" i="3" s="1"/>
  <c r="S43" i="2"/>
  <c r="D49" i="3" s="1"/>
  <c r="S44" i="2"/>
  <c r="D21" i="3" s="1"/>
  <c r="S45" i="2"/>
  <c r="D18" i="3" s="1"/>
  <c r="S46" i="2"/>
  <c r="D47" i="3" s="1"/>
  <c r="S47" i="2"/>
  <c r="D7" i="3" s="1"/>
  <c r="S48" i="2"/>
  <c r="D46" i="3" s="1"/>
  <c r="S49" i="2"/>
  <c r="D24" i="3" s="1"/>
  <c r="S50" i="2"/>
  <c r="D19" i="3" s="1"/>
  <c r="S2" i="2"/>
  <c r="D33" i="3" s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P3" i="2"/>
  <c r="C48" i="3" s="1"/>
  <c r="P4" i="2"/>
  <c r="C50" i="3" s="1"/>
  <c r="P5" i="2"/>
  <c r="C41" i="3" s="1"/>
  <c r="P6" i="2"/>
  <c r="C39" i="3" s="1"/>
  <c r="P7" i="2"/>
  <c r="C42" i="3" s="1"/>
  <c r="P8" i="2"/>
  <c r="C29" i="3" s="1"/>
  <c r="P9" i="2"/>
  <c r="C3" i="3" s="1"/>
  <c r="P10" i="2"/>
  <c r="C30" i="3" s="1"/>
  <c r="P11" i="2"/>
  <c r="C8" i="3" s="1"/>
  <c r="P12" i="2"/>
  <c r="C40" i="3" s="1"/>
  <c r="P13" i="2"/>
  <c r="C17" i="3" s="1"/>
  <c r="P14" i="2"/>
  <c r="C38" i="3" s="1"/>
  <c r="P15" i="2"/>
  <c r="C26" i="3" s="1"/>
  <c r="P16" i="2"/>
  <c r="C34" i="3" s="1"/>
  <c r="P17" i="2"/>
  <c r="C6" i="3" s="1"/>
  <c r="P18" i="2"/>
  <c r="C35" i="3" s="1"/>
  <c r="P19" i="2"/>
  <c r="C44" i="3" s="1"/>
  <c r="P20" i="2"/>
  <c r="C20" i="3" s="1"/>
  <c r="P21" i="2"/>
  <c r="C16" i="3" s="1"/>
  <c r="P22" i="2"/>
  <c r="C15" i="3" s="1"/>
  <c r="P23" i="2"/>
  <c r="C25" i="3" s="1"/>
  <c r="P24" i="2"/>
  <c r="C27" i="3" s="1"/>
  <c r="P25" i="2"/>
  <c r="C14" i="3" s="1"/>
  <c r="P26" i="2"/>
  <c r="C37" i="3" s="1"/>
  <c r="P27" i="2"/>
  <c r="C28" i="3" s="1"/>
  <c r="P28" i="2"/>
  <c r="C31" i="3" s="1"/>
  <c r="P29" i="2"/>
  <c r="C23" i="3" s="1"/>
  <c r="P30" i="2"/>
  <c r="C22" i="3" s="1"/>
  <c r="P31" i="2"/>
  <c r="C9" i="3" s="1"/>
  <c r="P32" i="2"/>
  <c r="C36" i="3" s="1"/>
  <c r="P33" i="2"/>
  <c r="C45" i="3" s="1"/>
  <c r="P34" i="2"/>
  <c r="C2" i="3" s="1"/>
  <c r="P35" i="2"/>
  <c r="C11" i="3" s="1"/>
  <c r="P36" i="2"/>
  <c r="C4" i="3" s="1"/>
  <c r="P37" i="2"/>
  <c r="C43" i="3" s="1"/>
  <c r="P38" i="2"/>
  <c r="C5" i="3" s="1"/>
  <c r="P39" i="2"/>
  <c r="C10" i="3" s="1"/>
  <c r="P40" i="2"/>
  <c r="C12" i="3" s="1"/>
  <c r="P41" i="2"/>
  <c r="C32" i="3" s="1"/>
  <c r="P42" i="2"/>
  <c r="C13" i="3" s="1"/>
  <c r="P43" i="2"/>
  <c r="C49" i="3" s="1"/>
  <c r="P44" i="2"/>
  <c r="C21" i="3" s="1"/>
  <c r="P45" i="2"/>
  <c r="C18" i="3" s="1"/>
  <c r="P46" i="2"/>
  <c r="C47" i="3" s="1"/>
  <c r="P47" i="2"/>
  <c r="C7" i="3" s="1"/>
  <c r="P48" i="2"/>
  <c r="C46" i="3" s="1"/>
  <c r="P49" i="2"/>
  <c r="C24" i="3" s="1"/>
  <c r="P50" i="2"/>
  <c r="C19" i="3" s="1"/>
  <c r="P2" i="2"/>
  <c r="C33" i="3" s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2" i="2"/>
  <c r="J3" i="2"/>
  <c r="E48" i="3" s="1"/>
  <c r="J4" i="2"/>
  <c r="E50" i="3" s="1"/>
  <c r="J5" i="2"/>
  <c r="E41" i="3" s="1"/>
  <c r="J6" i="2"/>
  <c r="E39" i="3" s="1"/>
  <c r="J7" i="2"/>
  <c r="E42" i="3" s="1"/>
  <c r="J8" i="2"/>
  <c r="E29" i="3" s="1"/>
  <c r="J9" i="2"/>
  <c r="E3" i="3" s="1"/>
  <c r="J10" i="2"/>
  <c r="E30" i="3" s="1"/>
  <c r="J11" i="2"/>
  <c r="E8" i="3" s="1"/>
  <c r="J12" i="2"/>
  <c r="E40" i="3" s="1"/>
  <c r="J13" i="2"/>
  <c r="E17" i="3" s="1"/>
  <c r="J14" i="2"/>
  <c r="E38" i="3" s="1"/>
  <c r="J15" i="2"/>
  <c r="E26" i="3" s="1"/>
  <c r="J16" i="2"/>
  <c r="E34" i="3" s="1"/>
  <c r="J17" i="2"/>
  <c r="E6" i="3" s="1"/>
  <c r="J18" i="2"/>
  <c r="E35" i="3" s="1"/>
  <c r="J19" i="2"/>
  <c r="E44" i="3" s="1"/>
  <c r="J20" i="2"/>
  <c r="E20" i="3" s="1"/>
  <c r="J21" i="2"/>
  <c r="E16" i="3" s="1"/>
  <c r="J22" i="2"/>
  <c r="E15" i="3" s="1"/>
  <c r="J23" i="2"/>
  <c r="E25" i="3" s="1"/>
  <c r="J24" i="2"/>
  <c r="E27" i="3" s="1"/>
  <c r="J25" i="2"/>
  <c r="E14" i="3" s="1"/>
  <c r="J26" i="2"/>
  <c r="E37" i="3" s="1"/>
  <c r="J27" i="2"/>
  <c r="E28" i="3" s="1"/>
  <c r="J28" i="2"/>
  <c r="E31" i="3" s="1"/>
  <c r="J29" i="2"/>
  <c r="E23" i="3" s="1"/>
  <c r="J30" i="2"/>
  <c r="E22" i="3" s="1"/>
  <c r="J31" i="2"/>
  <c r="E9" i="3" s="1"/>
  <c r="J32" i="2"/>
  <c r="E36" i="3" s="1"/>
  <c r="J33" i="2"/>
  <c r="E45" i="3" s="1"/>
  <c r="J34" i="2"/>
  <c r="E2" i="3" s="1"/>
  <c r="J35" i="2"/>
  <c r="E11" i="3" s="1"/>
  <c r="J36" i="2"/>
  <c r="E4" i="3" s="1"/>
  <c r="J37" i="2"/>
  <c r="E43" i="3" s="1"/>
  <c r="J38" i="2"/>
  <c r="E5" i="3" s="1"/>
  <c r="J39" i="2"/>
  <c r="E10" i="3" s="1"/>
  <c r="J40" i="2"/>
  <c r="E12" i="3" s="1"/>
  <c r="J41" i="2"/>
  <c r="E32" i="3" s="1"/>
  <c r="J42" i="2"/>
  <c r="E13" i="3" s="1"/>
  <c r="J43" i="2"/>
  <c r="E49" i="3" s="1"/>
  <c r="J44" i="2"/>
  <c r="E21" i="3" s="1"/>
  <c r="J45" i="2"/>
  <c r="E18" i="3" s="1"/>
  <c r="J46" i="2"/>
  <c r="E47" i="3" s="1"/>
  <c r="J47" i="2"/>
  <c r="E7" i="3" s="1"/>
  <c r="J48" i="2"/>
  <c r="E46" i="3" s="1"/>
  <c r="J49" i="2"/>
  <c r="E24" i="3" s="1"/>
  <c r="J50" i="2"/>
  <c r="E19" i="3" s="1"/>
  <c r="J2" i="2"/>
  <c r="E33" i="3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2" i="2"/>
  <c r="G5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2" i="2"/>
  <c r="H3" i="2"/>
  <c r="H4" i="2"/>
  <c r="H5" i="2"/>
  <c r="B41" i="3" s="1"/>
  <c r="H6" i="2"/>
  <c r="H8" i="2"/>
  <c r="B29" i="3" s="1"/>
  <c r="H9" i="2"/>
  <c r="H10" i="2"/>
  <c r="B30" i="3" s="1"/>
  <c r="H11" i="2"/>
  <c r="H12" i="2"/>
  <c r="H13" i="2"/>
  <c r="B17" i="3" s="1"/>
  <c r="H14" i="2"/>
  <c r="H15" i="2"/>
  <c r="H16" i="2"/>
  <c r="B34" i="3" s="1"/>
  <c r="H17" i="2"/>
  <c r="H18" i="2"/>
  <c r="B35" i="3" s="1"/>
  <c r="H19" i="2"/>
  <c r="H20" i="2"/>
  <c r="H21" i="2"/>
  <c r="B16" i="3" s="1"/>
  <c r="H22" i="2"/>
  <c r="H23" i="2"/>
  <c r="H24" i="2"/>
  <c r="B27" i="3" s="1"/>
  <c r="H25" i="2"/>
  <c r="H26" i="2"/>
  <c r="B37" i="3" s="1"/>
  <c r="H27" i="2"/>
  <c r="H28" i="2"/>
  <c r="H29" i="2"/>
  <c r="B23" i="3" s="1"/>
  <c r="H30" i="2"/>
  <c r="H31" i="2"/>
  <c r="H32" i="2"/>
  <c r="B36" i="3" s="1"/>
  <c r="H33" i="2"/>
  <c r="H34" i="2"/>
  <c r="H35" i="2"/>
  <c r="H36" i="2"/>
  <c r="H37" i="2"/>
  <c r="H38" i="2"/>
  <c r="H39" i="2"/>
  <c r="H40" i="2"/>
  <c r="B12" i="3" s="1"/>
  <c r="H41" i="2"/>
  <c r="H42" i="2"/>
  <c r="B13" i="3" s="1"/>
  <c r="H43" i="2"/>
  <c r="H44" i="2"/>
  <c r="H45" i="2"/>
  <c r="H46" i="2"/>
  <c r="H47" i="2"/>
  <c r="H48" i="2"/>
  <c r="B46" i="3" s="1"/>
  <c r="H49" i="2"/>
  <c r="H50" i="2"/>
  <c r="B19" i="3" s="1"/>
  <c r="H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2" i="2"/>
  <c r="A3" i="2"/>
  <c r="A48" i="3" s="1"/>
  <c r="A4" i="2"/>
  <c r="A50" i="3" s="1"/>
  <c r="A5" i="2"/>
  <c r="A41" i="3" s="1"/>
  <c r="A6" i="2"/>
  <c r="A39" i="3" s="1"/>
  <c r="A7" i="2"/>
  <c r="A42" i="3" s="1"/>
  <c r="A8" i="2"/>
  <c r="A29" i="3" s="1"/>
  <c r="A9" i="2"/>
  <c r="A3" i="3" s="1"/>
  <c r="A10" i="2"/>
  <c r="A30" i="3" s="1"/>
  <c r="A11" i="2"/>
  <c r="A8" i="3" s="1"/>
  <c r="A12" i="2"/>
  <c r="A40" i="3" s="1"/>
  <c r="A13" i="2"/>
  <c r="A17" i="3" s="1"/>
  <c r="A14" i="2"/>
  <c r="A38" i="3" s="1"/>
  <c r="A15" i="2"/>
  <c r="A26" i="3" s="1"/>
  <c r="A16" i="2"/>
  <c r="A34" i="3" s="1"/>
  <c r="A17" i="2"/>
  <c r="A6" i="3" s="1"/>
  <c r="A18" i="2"/>
  <c r="A35" i="3" s="1"/>
  <c r="A19" i="2"/>
  <c r="A44" i="3" s="1"/>
  <c r="A20" i="2"/>
  <c r="A20" i="3" s="1"/>
  <c r="A21" i="2"/>
  <c r="A16" i="3" s="1"/>
  <c r="A22" i="2"/>
  <c r="A15" i="3" s="1"/>
  <c r="A23" i="2"/>
  <c r="A25" i="3" s="1"/>
  <c r="A24" i="2"/>
  <c r="A27" i="3" s="1"/>
  <c r="A25" i="2"/>
  <c r="A14" i="3" s="1"/>
  <c r="A26" i="2"/>
  <c r="A37" i="3" s="1"/>
  <c r="A27" i="2"/>
  <c r="A28" i="3" s="1"/>
  <c r="A28" i="2"/>
  <c r="A31" i="3" s="1"/>
  <c r="A29" i="2"/>
  <c r="A23" i="3" s="1"/>
  <c r="A30" i="2"/>
  <c r="A22" i="3" s="1"/>
  <c r="A31" i="2"/>
  <c r="A9" i="3" s="1"/>
  <c r="A32" i="2"/>
  <c r="A36" i="3" s="1"/>
  <c r="A33" i="2"/>
  <c r="A45" i="3" s="1"/>
  <c r="A34" i="2"/>
  <c r="A2" i="3" s="1"/>
  <c r="A35" i="2"/>
  <c r="A11" i="3" s="1"/>
  <c r="A36" i="2"/>
  <c r="A4" i="3" s="1"/>
  <c r="A37" i="2"/>
  <c r="A43" i="3" s="1"/>
  <c r="A38" i="2"/>
  <c r="A5" i="3" s="1"/>
  <c r="A39" i="2"/>
  <c r="A10" i="3" s="1"/>
  <c r="A40" i="2"/>
  <c r="A12" i="3" s="1"/>
  <c r="A41" i="2"/>
  <c r="A32" i="3" s="1"/>
  <c r="A42" i="2"/>
  <c r="A13" i="3" s="1"/>
  <c r="A43" i="2"/>
  <c r="A49" i="3" s="1"/>
  <c r="A44" i="2"/>
  <c r="A21" i="3" s="1"/>
  <c r="A45" i="2"/>
  <c r="A18" i="3" s="1"/>
  <c r="A46" i="2"/>
  <c r="A47" i="3" s="1"/>
  <c r="A47" i="2"/>
  <c r="A7" i="3" s="1"/>
  <c r="A48" i="2"/>
  <c r="A46" i="3" s="1"/>
  <c r="A49" i="2"/>
  <c r="A24" i="3" s="1"/>
  <c r="A50" i="2"/>
  <c r="A19" i="3" s="1"/>
  <c r="A2" i="2"/>
  <c r="A33" i="3" s="1"/>
  <c r="I2" i="1"/>
  <c r="I17" i="2" s="1"/>
  <c r="I3" i="1"/>
  <c r="I3" i="2" s="1"/>
  <c r="I4" i="1"/>
  <c r="I4" i="2" s="1"/>
  <c r="I5" i="1"/>
  <c r="I5" i="2" s="1"/>
  <c r="I6" i="1"/>
  <c r="I6" i="2" s="1"/>
  <c r="I7" i="1"/>
  <c r="I8" i="1"/>
  <c r="I8" i="2" s="1"/>
  <c r="I9" i="1"/>
  <c r="I10" i="1"/>
  <c r="I10" i="2" s="1"/>
  <c r="I11" i="1"/>
  <c r="I11" i="2" s="1"/>
  <c r="I12" i="1"/>
  <c r="I12" i="2" s="1"/>
  <c r="I13" i="1"/>
  <c r="I13" i="2" s="1"/>
  <c r="I14" i="1"/>
  <c r="I14" i="2" s="1"/>
  <c r="I15" i="1"/>
  <c r="I16" i="1"/>
  <c r="I16" i="2" s="1"/>
  <c r="I17" i="1"/>
  <c r="I18" i="1"/>
  <c r="I18" i="2" s="1"/>
  <c r="I19" i="1"/>
  <c r="I19" i="2" s="1"/>
  <c r="I20" i="1"/>
  <c r="I20" i="2" s="1"/>
  <c r="I21" i="1"/>
  <c r="I21" i="2" s="1"/>
  <c r="I22" i="1"/>
  <c r="I22" i="2" s="1"/>
  <c r="I23" i="1"/>
  <c r="I24" i="1"/>
  <c r="I24" i="2" s="1"/>
  <c r="I25" i="1"/>
  <c r="I26" i="1"/>
  <c r="I26" i="2" s="1"/>
  <c r="I27" i="1"/>
  <c r="I27" i="2" s="1"/>
  <c r="I28" i="1"/>
  <c r="I28" i="2" s="1"/>
  <c r="I29" i="1"/>
  <c r="I29" i="2" s="1"/>
  <c r="I30" i="1"/>
  <c r="I30" i="2" s="1"/>
  <c r="I31" i="1"/>
  <c r="I32" i="1"/>
  <c r="I32" i="2" s="1"/>
  <c r="I33" i="1"/>
  <c r="I34" i="1"/>
  <c r="I34" i="2" s="1"/>
  <c r="I35" i="1"/>
  <c r="I35" i="2" s="1"/>
  <c r="I36" i="1"/>
  <c r="I36" i="2" s="1"/>
  <c r="I37" i="1"/>
  <c r="I37" i="2" s="1"/>
  <c r="I38" i="1"/>
  <c r="I38" i="2" s="1"/>
  <c r="I39" i="1"/>
  <c r="I40" i="1"/>
  <c r="I40" i="2" s="1"/>
  <c r="I41" i="1"/>
  <c r="I42" i="1"/>
  <c r="I42" i="2" s="1"/>
  <c r="I43" i="1"/>
  <c r="I43" i="2" s="1"/>
  <c r="I44" i="1"/>
  <c r="I44" i="2" s="1"/>
  <c r="I45" i="1"/>
  <c r="I45" i="2" s="1"/>
  <c r="I46" i="1"/>
  <c r="I46" i="2" s="1"/>
  <c r="I47" i="1"/>
  <c r="I48" i="1"/>
  <c r="I48" i="2" s="1"/>
  <c r="I49" i="1"/>
  <c r="I50" i="1"/>
  <c r="I50" i="2" s="1"/>
  <c r="B9" i="4" l="1"/>
  <c r="A50" i="7"/>
  <c r="A49" i="7"/>
  <c r="G49" i="7" s="1"/>
  <c r="A8" i="7"/>
  <c r="F8" i="7" s="1"/>
  <c r="A47" i="7"/>
  <c r="A5" i="7"/>
  <c r="A22" i="7"/>
  <c r="A15" i="7"/>
  <c r="A38" i="7"/>
  <c r="A39" i="7"/>
  <c r="B49" i="3"/>
  <c r="B11" i="3"/>
  <c r="B28" i="3"/>
  <c r="B44" i="3"/>
  <c r="B8" i="3"/>
  <c r="A41" i="7"/>
  <c r="G41" i="7" s="1"/>
  <c r="A43" i="7"/>
  <c r="A20" i="7"/>
  <c r="A23" i="7"/>
  <c r="A16" i="7"/>
  <c r="A31" i="7"/>
  <c r="A28" i="7"/>
  <c r="A48" i="7"/>
  <c r="F48" i="7" s="1"/>
  <c r="A19" i="7"/>
  <c r="A13" i="7"/>
  <c r="A2" i="7"/>
  <c r="A37" i="7"/>
  <c r="A35" i="7"/>
  <c r="A30" i="7"/>
  <c r="B30" i="7" s="1"/>
  <c r="B39" i="3"/>
  <c r="A24" i="7"/>
  <c r="F24" i="7" s="1"/>
  <c r="A32" i="7"/>
  <c r="F32" i="7" s="1"/>
  <c r="A45" i="7"/>
  <c r="A14" i="7"/>
  <c r="B14" i="7" s="1"/>
  <c r="A6" i="7"/>
  <c r="B6" i="7" s="1"/>
  <c r="A3" i="7"/>
  <c r="B47" i="3"/>
  <c r="B5" i="3"/>
  <c r="B22" i="3"/>
  <c r="B15" i="3"/>
  <c r="B38" i="3"/>
  <c r="A17" i="7"/>
  <c r="G17" i="7" s="1"/>
  <c r="A21" i="7"/>
  <c r="G21" i="7" s="1"/>
  <c r="A40" i="7"/>
  <c r="F40" i="7" s="1"/>
  <c r="B6" i="3"/>
  <c r="A33" i="7"/>
  <c r="G33" i="7" s="1"/>
  <c r="A11" i="7"/>
  <c r="A44" i="7"/>
  <c r="D44" i="7" s="1"/>
  <c r="A12" i="7"/>
  <c r="A36" i="7"/>
  <c r="A27" i="7"/>
  <c r="D27" i="7" s="1"/>
  <c r="A29" i="7"/>
  <c r="B18" i="3"/>
  <c r="B43" i="3"/>
  <c r="B50" i="3"/>
  <c r="A18" i="7"/>
  <c r="G18" i="7" s="1"/>
  <c r="A46" i="7"/>
  <c r="B46" i="7" s="1"/>
  <c r="A34" i="7"/>
  <c r="G34" i="7" s="1"/>
  <c r="A7" i="7"/>
  <c r="A10" i="7"/>
  <c r="G10" i="7" s="1"/>
  <c r="A9" i="7"/>
  <c r="G9" i="7" s="1"/>
  <c r="A25" i="7"/>
  <c r="G25" i="7" s="1"/>
  <c r="A26" i="7"/>
  <c r="A42" i="7"/>
  <c r="E42" i="7" s="1"/>
  <c r="B21" i="3"/>
  <c r="B4" i="3"/>
  <c r="B31" i="3"/>
  <c r="D31" i="7" s="1"/>
  <c r="B20" i="3"/>
  <c r="B40" i="3"/>
  <c r="B48" i="3"/>
  <c r="I47" i="2"/>
  <c r="B7" i="3" s="1"/>
  <c r="D7" i="7" s="1"/>
  <c r="I39" i="2"/>
  <c r="B10" i="3" s="1"/>
  <c r="D10" i="7" s="1"/>
  <c r="I31" i="2"/>
  <c r="B9" i="3" s="1"/>
  <c r="D9" i="7" s="1"/>
  <c r="I23" i="2"/>
  <c r="B25" i="3" s="1"/>
  <c r="D25" i="7" s="1"/>
  <c r="I15" i="2"/>
  <c r="B26" i="3" s="1"/>
  <c r="D26" i="7" s="1"/>
  <c r="I7" i="2"/>
  <c r="B42" i="3" s="1"/>
  <c r="I2" i="2"/>
  <c r="B33" i="3" s="1"/>
  <c r="D33" i="7" s="1"/>
  <c r="I25" i="2"/>
  <c r="B14" i="3" s="1"/>
  <c r="D14" i="7" s="1"/>
  <c r="I9" i="2"/>
  <c r="B3" i="3" s="1"/>
  <c r="I49" i="2"/>
  <c r="B24" i="3" s="1"/>
  <c r="D24" i="7" s="1"/>
  <c r="I41" i="2"/>
  <c r="B32" i="3" s="1"/>
  <c r="D32" i="7" s="1"/>
  <c r="I33" i="2"/>
  <c r="B45" i="3" s="1"/>
  <c r="D45" i="7" s="1"/>
  <c r="C47" i="7"/>
  <c r="G47" i="7"/>
  <c r="F47" i="7"/>
  <c r="E47" i="7"/>
  <c r="D47" i="7"/>
  <c r="B47" i="7"/>
  <c r="B22" i="7"/>
  <c r="G22" i="7"/>
  <c r="F22" i="7"/>
  <c r="E22" i="7"/>
  <c r="D22" i="7"/>
  <c r="C22" i="7"/>
  <c r="B38" i="7"/>
  <c r="G38" i="7"/>
  <c r="F38" i="7"/>
  <c r="E38" i="7"/>
  <c r="D38" i="7"/>
  <c r="C38" i="7"/>
  <c r="C23" i="7"/>
  <c r="G23" i="7"/>
  <c r="F23" i="7"/>
  <c r="E23" i="7"/>
  <c r="D23" i="7"/>
  <c r="B23" i="7"/>
  <c r="F28" i="7"/>
  <c r="D28" i="7"/>
  <c r="G28" i="7"/>
  <c r="C28" i="7"/>
  <c r="B28" i="7"/>
  <c r="E28" i="7"/>
  <c r="F46" i="7"/>
  <c r="E46" i="7"/>
  <c r="D46" i="7"/>
  <c r="C46" i="7"/>
  <c r="C7" i="7"/>
  <c r="F7" i="7"/>
  <c r="B7" i="7"/>
  <c r="F10" i="7"/>
  <c r="E10" i="7"/>
  <c r="C10" i="7"/>
  <c r="B10" i="7"/>
  <c r="G26" i="7"/>
  <c r="F26" i="7"/>
  <c r="E26" i="7"/>
  <c r="C26" i="7"/>
  <c r="B26" i="7"/>
  <c r="G42" i="7"/>
  <c r="F42" i="7"/>
  <c r="B42" i="7"/>
  <c r="C15" i="7"/>
  <c r="G15" i="7"/>
  <c r="F15" i="7"/>
  <c r="E15" i="7"/>
  <c r="D15" i="7"/>
  <c r="B15" i="7"/>
  <c r="G43" i="7"/>
  <c r="C43" i="7"/>
  <c r="F43" i="7"/>
  <c r="E43" i="7"/>
  <c r="D43" i="7"/>
  <c r="B43" i="7"/>
  <c r="D21" i="7"/>
  <c r="C21" i="7"/>
  <c r="B21" i="7"/>
  <c r="C31" i="7"/>
  <c r="G31" i="7"/>
  <c r="F31" i="7"/>
  <c r="E31" i="7"/>
  <c r="B31" i="7"/>
  <c r="G50" i="7"/>
  <c r="F50" i="7"/>
  <c r="E50" i="7"/>
  <c r="D50" i="7"/>
  <c r="C50" i="7"/>
  <c r="B50" i="7"/>
  <c r="G44" i="7"/>
  <c r="C44" i="7"/>
  <c r="B44" i="7"/>
  <c r="F44" i="7"/>
  <c r="E44" i="7"/>
  <c r="F13" i="7"/>
  <c r="E13" i="7"/>
  <c r="D13" i="7"/>
  <c r="C13" i="7"/>
  <c r="B13" i="7"/>
  <c r="G13" i="7"/>
  <c r="F37" i="7"/>
  <c r="E37" i="7"/>
  <c r="D37" i="7"/>
  <c r="C37" i="7"/>
  <c r="B37" i="7"/>
  <c r="G37" i="7"/>
  <c r="G5" i="7"/>
  <c r="F5" i="7"/>
  <c r="E5" i="7"/>
  <c r="D5" i="7"/>
  <c r="C5" i="7"/>
  <c r="B5" i="7"/>
  <c r="C39" i="7"/>
  <c r="G39" i="7"/>
  <c r="F39" i="7"/>
  <c r="E39" i="7"/>
  <c r="D39" i="7"/>
  <c r="B39" i="7"/>
  <c r="F18" i="7"/>
  <c r="E18" i="7"/>
  <c r="D18" i="7"/>
  <c r="C18" i="7"/>
  <c r="F45" i="7"/>
  <c r="E45" i="7"/>
  <c r="C45" i="7"/>
  <c r="B45" i="7"/>
  <c r="G45" i="7"/>
  <c r="F16" i="7"/>
  <c r="E16" i="7"/>
  <c r="D16" i="7"/>
  <c r="B16" i="7"/>
  <c r="G16" i="7"/>
  <c r="C16" i="7"/>
  <c r="D20" i="7"/>
  <c r="G20" i="7"/>
  <c r="C20" i="7"/>
  <c r="B20" i="7"/>
  <c r="F20" i="7"/>
  <c r="E20" i="7"/>
  <c r="D12" i="7"/>
  <c r="G12" i="7"/>
  <c r="C12" i="7"/>
  <c r="B12" i="7"/>
  <c r="F12" i="7"/>
  <c r="E12" i="7"/>
  <c r="F36" i="7"/>
  <c r="D36" i="7"/>
  <c r="G36" i="7"/>
  <c r="C36" i="7"/>
  <c r="B36" i="7"/>
  <c r="E36" i="7"/>
  <c r="G27" i="7"/>
  <c r="C27" i="7"/>
  <c r="F27" i="7"/>
  <c r="E27" i="7"/>
  <c r="F34" i="7"/>
  <c r="E34" i="7"/>
  <c r="D34" i="7"/>
  <c r="C34" i="7"/>
  <c r="B34" i="7"/>
  <c r="F29" i="7"/>
  <c r="E29" i="7"/>
  <c r="D29" i="7"/>
  <c r="C29" i="7"/>
  <c r="B29" i="7"/>
  <c r="G29" i="7"/>
  <c r="C48" i="7"/>
  <c r="C40" i="7"/>
  <c r="C32" i="7"/>
  <c r="C24" i="7"/>
  <c r="C8" i="7"/>
  <c r="D49" i="7"/>
  <c r="A4" i="7"/>
  <c r="C30" i="7"/>
  <c r="C14" i="7"/>
  <c r="C6" i="7"/>
  <c r="D6" i="7"/>
  <c r="E6" i="7"/>
  <c r="G48" i="7"/>
  <c r="G40" i="7"/>
  <c r="G32" i="7"/>
  <c r="G24" i="7"/>
  <c r="G8" i="7"/>
  <c r="B7" i="4"/>
  <c r="G6" i="7"/>
  <c r="D30" i="7"/>
  <c r="E30" i="7"/>
  <c r="E14" i="7"/>
  <c r="F30" i="7"/>
  <c r="F14" i="7"/>
  <c r="F6" i="7"/>
  <c r="B6" i="4"/>
  <c r="B2" i="7"/>
  <c r="B35" i="7"/>
  <c r="B19" i="7"/>
  <c r="B11" i="7"/>
  <c r="B3" i="7"/>
  <c r="G30" i="7"/>
  <c r="G14" i="7"/>
  <c r="B33" i="7"/>
  <c r="D19" i="7"/>
  <c r="D11" i="7"/>
  <c r="E2" i="7"/>
  <c r="E19" i="7"/>
  <c r="E11" i="7"/>
  <c r="F2" i="7"/>
  <c r="F35" i="7"/>
  <c r="F19" i="7"/>
  <c r="F11" i="7"/>
  <c r="F3" i="7"/>
  <c r="E7" i="7"/>
  <c r="B8" i="4"/>
  <c r="B49" i="7"/>
  <c r="B41" i="7"/>
  <c r="B25" i="7"/>
  <c r="B17" i="7"/>
  <c r="B9" i="7"/>
  <c r="D2" i="7"/>
  <c r="D35" i="7"/>
  <c r="E35" i="7"/>
  <c r="G7" i="7"/>
  <c r="B48" i="7"/>
  <c r="B40" i="7"/>
  <c r="B32" i="7"/>
  <c r="B24" i="7"/>
  <c r="B8" i="7"/>
  <c r="C49" i="7"/>
  <c r="C41" i="7"/>
  <c r="C33" i="7"/>
  <c r="C25" i="7"/>
  <c r="C17" i="7"/>
  <c r="C9" i="7"/>
  <c r="D17" i="7"/>
  <c r="E49" i="7"/>
  <c r="E41" i="7"/>
  <c r="E33" i="7"/>
  <c r="E25" i="7"/>
  <c r="E17" i="7"/>
  <c r="E9" i="7"/>
  <c r="F49" i="7"/>
  <c r="F41" i="7"/>
  <c r="F33" i="7"/>
  <c r="F25" i="7"/>
  <c r="F17" i="7"/>
  <c r="F9" i="7"/>
  <c r="D41" i="7"/>
  <c r="D48" i="7"/>
  <c r="D40" i="7"/>
  <c r="D8" i="7"/>
  <c r="E48" i="7"/>
  <c r="E40" i="7"/>
  <c r="E32" i="7"/>
  <c r="E24" i="7"/>
  <c r="E8" i="7"/>
  <c r="G35" i="7" l="1"/>
  <c r="C35" i="7"/>
  <c r="G19" i="7"/>
  <c r="C19" i="7"/>
  <c r="G11" i="7"/>
  <c r="C11" i="7"/>
  <c r="G2" i="7"/>
  <c r="C2" i="7"/>
  <c r="G3" i="7"/>
  <c r="C3" i="7"/>
  <c r="E3" i="7"/>
  <c r="D3" i="7"/>
  <c r="E21" i="7"/>
  <c r="C42" i="7"/>
  <c r="G46" i="7"/>
  <c r="B27" i="7"/>
  <c r="B18" i="7"/>
  <c r="F21" i="7"/>
  <c r="D42" i="7"/>
  <c r="G4" i="7"/>
  <c r="E4" i="7"/>
  <c r="D4" i="7"/>
  <c r="C4" i="7"/>
  <c r="B4" i="7"/>
  <c r="F4" i="7"/>
</calcChain>
</file>

<file path=xl/sharedStrings.xml><?xml version="1.0" encoding="utf-8"?>
<sst xmlns="http://schemas.openxmlformats.org/spreadsheetml/2006/main" count="174" uniqueCount="113">
  <si>
    <t>Player</t>
  </si>
  <si>
    <t>Squad</t>
  </si>
  <si>
    <t>Age</t>
  </si>
  <si>
    <t>Elijah Adebayo</t>
  </si>
  <si>
    <t>Luton Town</t>
  </si>
  <si>
    <t>Simon Adingra</t>
  </si>
  <si>
    <t>Brighton</t>
  </si>
  <si>
    <t>Miguel Almirón</t>
  </si>
  <si>
    <t>Newcastle Utd</t>
  </si>
  <si>
    <t>Zeki Amdouni</t>
  </si>
  <si>
    <t>Burnley</t>
  </si>
  <si>
    <t>Michail Antonio</t>
  </si>
  <si>
    <t>West Ham</t>
  </si>
  <si>
    <t>Antony</t>
  </si>
  <si>
    <t>Manchester Utd</t>
  </si>
  <si>
    <t>Taiwo Awoniyi</t>
  </si>
  <si>
    <t>Nott'ham Forest</t>
  </si>
  <si>
    <t>Beto</t>
  </si>
  <si>
    <t>Everton</t>
  </si>
  <si>
    <t>Jarrod Bowen</t>
  </si>
  <si>
    <t>Dominic Calvert-Lewin</t>
  </si>
  <si>
    <t>Bobby De Cordova-Reid</t>
  </si>
  <si>
    <t>Fulham</t>
  </si>
  <si>
    <t>Luis Díaz</t>
  </si>
  <si>
    <t>Liverpool</t>
  </si>
  <si>
    <t>Evan Ferguson</t>
  </si>
  <si>
    <t>Alejandro Garnacho</t>
  </si>
  <si>
    <t>Anthony Gordon</t>
  </si>
  <si>
    <t>Erling Haaland</t>
  </si>
  <si>
    <t>Manchester City</t>
  </si>
  <si>
    <t>Son Heung-min</t>
  </si>
  <si>
    <t>Tottenham</t>
  </si>
  <si>
    <t>Rasmus Højlund</t>
  </si>
  <si>
    <t>Alexander Isak</t>
  </si>
  <si>
    <t>Nicolas Jackson</t>
  </si>
  <si>
    <t>Chelsea</t>
  </si>
  <si>
    <t>Gabriel Jesus</t>
  </si>
  <si>
    <t>Arsenal</t>
  </si>
  <si>
    <t>Raúl Jiménez</t>
  </si>
  <si>
    <t>Brennan Johnson</t>
  </si>
  <si>
    <t>Diogo Jota</t>
  </si>
  <si>
    <t>Noni Madueke</t>
  </si>
  <si>
    <t>Gabriel Martinelli</t>
  </si>
  <si>
    <t>Jean-Philippe Mateta</t>
  </si>
  <si>
    <t>Crystal Palace</t>
  </si>
  <si>
    <t>Neal Maupay</t>
  </si>
  <si>
    <t>Brentford</t>
  </si>
  <si>
    <t>Bryan Mbeumo</t>
  </si>
  <si>
    <t>Oliver McBurnie</t>
  </si>
  <si>
    <t>Sheffield Utd</t>
  </si>
  <si>
    <t>Kaoru Mitoma</t>
  </si>
  <si>
    <t>Mykhailo Mudryk</t>
  </si>
  <si>
    <t>Rodrigo Muniz</t>
  </si>
  <si>
    <t>Eddie Nketiah</t>
  </si>
  <si>
    <t>Darwin Núñez</t>
  </si>
  <si>
    <t>Marcus Rashford</t>
  </si>
  <si>
    <t>Richarlison</t>
  </si>
  <si>
    <t>Bukayo Saka</t>
  </si>
  <si>
    <t>Mohamed Salah</t>
  </si>
  <si>
    <t>Antoine Semenyo</t>
  </si>
  <si>
    <t>Bournemouth</t>
  </si>
  <si>
    <t>Dominic Solanke</t>
  </si>
  <si>
    <t>Marcus Tavernier</t>
  </si>
  <si>
    <t>Ivan Toney</t>
  </si>
  <si>
    <t>Ollie Watkins</t>
  </si>
  <si>
    <t>Aston Villa</t>
  </si>
  <si>
    <t>Willian</t>
  </si>
  <si>
    <t>Callum Wilson</t>
  </si>
  <si>
    <t>Harry Wilson</t>
  </si>
  <si>
    <t>Yoane Wissa</t>
  </si>
  <si>
    <t>Chris Wood</t>
  </si>
  <si>
    <t>Minutes</t>
  </si>
  <si>
    <t>Shots_90</t>
  </si>
  <si>
    <t>xG_90</t>
  </si>
  <si>
    <t>Touches_Box_90</t>
  </si>
  <si>
    <t>npxG_90</t>
  </si>
  <si>
    <t>Aerials_Won_Pct</t>
  </si>
  <si>
    <t>Aerials_Won_90</t>
  </si>
  <si>
    <t>Fouls_Drawn_90</t>
  </si>
  <si>
    <t>SoT_Pct</t>
  </si>
  <si>
    <t>Avg_Shot_Distance</t>
  </si>
  <si>
    <t>G_minus_xG</t>
  </si>
  <si>
    <t>Passes_Received_90</t>
  </si>
  <si>
    <t>Key_Passes_90</t>
  </si>
  <si>
    <t>Prog_Passes_Received_90</t>
  </si>
  <si>
    <t>Prog_Carries_90</t>
  </si>
  <si>
    <t>Carry_Distance_90</t>
  </si>
  <si>
    <t>Carries_Into_Box_90</t>
  </si>
  <si>
    <t>Shots_per_Touch</t>
  </si>
  <si>
    <t>Box_Dominator</t>
  </si>
  <si>
    <t>Buildup_Striker</t>
  </si>
  <si>
    <t>Transition_Outlet</t>
  </si>
  <si>
    <t>Back_To_Goal</t>
  </si>
  <si>
    <t>Player Profile</t>
  </si>
  <si>
    <t>Select Player:</t>
  </si>
  <si>
    <t>Strengths</t>
  </si>
  <si>
    <t>Risks / Notes</t>
  </si>
  <si>
    <t>Box Dominator</t>
  </si>
  <si>
    <t>Buildup Striker</t>
  </si>
  <si>
    <t>Transition Outlet</t>
  </si>
  <si>
    <t>Back-to-Goal</t>
  </si>
  <si>
    <t>Team:</t>
  </si>
  <si>
    <t>Age:</t>
  </si>
  <si>
    <t>Minutes:</t>
  </si>
  <si>
    <t>Back_to_Goal</t>
  </si>
  <si>
    <t>Overall_Fit</t>
  </si>
  <si>
    <t>Give weight to whatever you find most valuable to your team.</t>
  </si>
  <si>
    <t>Box Dominators</t>
  </si>
  <si>
    <t>Back To Goal</t>
  </si>
  <si>
    <t>0.50*D2+0.20*G2+0.20*E2+0.10*F2</t>
  </si>
  <si>
    <t>0.10*D2+0.50*G2+0.20*E2+0.20*F2</t>
  </si>
  <si>
    <t>0.20*D2+0.20*G2+0.50*E2+0.10*F2</t>
  </si>
  <si>
    <t>0.20*D2+0.10*G2+0.20*E2+0.50*F2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</si>
</sst>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888888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008800"/>
      <name val="Verdana"/>
      <family val="2"/>
    </font>
    <font>
      <sz val="9.4"/>
      <color rgb="FFCC0000"/>
      <name val="Verdana"/>
      <family val="2"/>
    </font>
    <font>
      <sz val="9.4"/>
      <color theme="1"/>
      <name val="Verdana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1" fontId="4" fillId="0" borderId="0" xfId="1" applyNumberFormat="1"/>
    <xf numFmtId="2" fontId="1" fillId="0" borderId="0" xfId="0" applyNumberFormat="1" applyFont="1"/>
    <xf numFmtId="2" fontId="0" fillId="0" borderId="0" xfId="0" applyNumberFormat="1"/>
    <xf numFmtId="2" fontId="2" fillId="0" borderId="0" xfId="0" applyNumberFormat="1" applyFont="1"/>
    <xf numFmtId="0" fontId="9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Player_Profile!$A$6:$A$9</c:f>
              <c:strCache>
                <c:ptCount val="4"/>
                <c:pt idx="0">
                  <c:v>Box Dominator</c:v>
                </c:pt>
                <c:pt idx="1">
                  <c:v>Buildup Striker</c:v>
                </c:pt>
                <c:pt idx="2">
                  <c:v>Transition Outlet</c:v>
                </c:pt>
                <c:pt idx="3">
                  <c:v>Back-to-Goal</c:v>
                </c:pt>
              </c:strCache>
            </c:strRef>
          </c:cat>
          <c:val>
            <c:numRef>
              <c:f>Player_Profile!$B$6:$B$9</c:f>
              <c:numCache>
                <c:formatCode>General</c:formatCode>
                <c:ptCount val="4"/>
                <c:pt idx="0">
                  <c:v>0.75609999999999999</c:v>
                </c:pt>
                <c:pt idx="1">
                  <c:v>0.35680000000000001</c:v>
                </c:pt>
                <c:pt idx="2">
                  <c:v>0.32239999999999996</c:v>
                </c:pt>
                <c:pt idx="3">
                  <c:v>0.48614999999999997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1-8143-AD1B-26884F6BE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010879"/>
        <c:axId val="391006847"/>
      </c:radarChart>
      <c:catAx>
        <c:axId val="39101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06847"/>
        <c:crosses val="autoZero"/>
        <c:auto val="1"/>
        <c:lblAlgn val="ctr"/>
        <c:lblOffset val="100"/>
        <c:noMultiLvlLbl val="0"/>
      </c:catAx>
      <c:valAx>
        <c:axId val="39100684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01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508000</xdr:colOff>
      <xdr:row>12</xdr:row>
      <xdr:rowOff>0</xdr:rowOff>
    </xdr:from>
    <xdr:to>
      <xdr:col>9</xdr:col>
      <xdr:colOff>609600</xdr:colOff>
      <xdr:row>25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BD3E2C-3142-9727-B634-6BE076945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4379-B046-D548-9D17-983FD7CFD119}">
  <dimension ref="A1:Y155"/>
  <sheetViews>
    <sheetView zoomScale="83" zoomScaleNormal="83" workbookViewId="0">
      <selection activeCell="C11" sqref="C11"/>
    </sheetView>
  </sheetViews>
  <sheetFormatPr baseColWidth="10" defaultRowHeight="16" x14ac:dyDescent="0.2"/>
  <cols>
    <col min="1" max="1" width="21" customWidth="1"/>
    <col min="2" max="2" width="15.5" customWidth="1"/>
    <col min="3" max="3" width="7.5" customWidth="1"/>
    <col min="4" max="4" width="8.83203125" style="10" customWidth="1"/>
    <col min="5" max="5" width="9.33203125" customWidth="1"/>
    <col min="6" max="6" width="7" customWidth="1"/>
    <col min="7" max="7" width="9.5" customWidth="1"/>
    <col min="8" max="8" width="16.5" customWidth="1"/>
    <col min="9" max="9" width="17.1640625" style="13" customWidth="1"/>
    <col min="10" max="10" width="15.6640625" customWidth="1"/>
    <col min="11" max="11" width="15.83203125" customWidth="1"/>
    <col min="12" max="12" width="16.1640625" customWidth="1"/>
    <col min="13" max="13" width="8.33203125" customWidth="1"/>
    <col min="14" max="14" width="18" customWidth="1"/>
    <col min="15" max="15" width="12.33203125" customWidth="1"/>
    <col min="16" max="16" width="20.33203125" customWidth="1"/>
    <col min="17" max="17" width="15.33203125" customWidth="1"/>
    <col min="18" max="18" width="25" customWidth="1"/>
    <col min="19" max="19" width="16.33203125" customWidth="1"/>
    <col min="20" max="20" width="18.6640625" customWidth="1"/>
    <col min="21" max="21" width="20.3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8" t="s">
        <v>71</v>
      </c>
      <c r="E1" s="1" t="s">
        <v>72</v>
      </c>
      <c r="F1" s="1" t="s">
        <v>73</v>
      </c>
      <c r="G1" s="1" t="s">
        <v>75</v>
      </c>
      <c r="H1" s="1" t="s">
        <v>74</v>
      </c>
      <c r="I1" s="12" t="s">
        <v>88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/>
    </row>
    <row r="2" spans="1:22" x14ac:dyDescent="0.2">
      <c r="A2" t="s">
        <v>3</v>
      </c>
      <c r="B2" t="s">
        <v>4</v>
      </c>
      <c r="C2" s="2">
        <v>25</v>
      </c>
      <c r="D2" s="9">
        <v>1419</v>
      </c>
      <c r="E2" s="7">
        <v>1.97</v>
      </c>
      <c r="F2" s="2">
        <v>0.37</v>
      </c>
      <c r="G2" s="2">
        <v>0.37</v>
      </c>
      <c r="H2" s="2">
        <v>5.19</v>
      </c>
      <c r="I2" s="13">
        <f t="shared" ref="I2:I33" si="0">E2/H2</f>
        <v>0.37957610789980728</v>
      </c>
      <c r="J2" s="2">
        <v>50</v>
      </c>
      <c r="K2" s="2">
        <v>2.72</v>
      </c>
      <c r="L2" s="2">
        <v>1.01</v>
      </c>
      <c r="M2" s="2">
        <v>45.2</v>
      </c>
      <c r="N2" s="7">
        <v>9.6</v>
      </c>
      <c r="O2" s="5">
        <v>4.0999999999999996</v>
      </c>
      <c r="P2" s="2">
        <v>21.3</v>
      </c>
      <c r="Q2" s="2">
        <v>14</v>
      </c>
      <c r="R2" s="7">
        <v>110</v>
      </c>
      <c r="S2" s="2">
        <v>1.01</v>
      </c>
      <c r="T2" s="2">
        <v>26.9</v>
      </c>
      <c r="U2" s="2">
        <v>13</v>
      </c>
    </row>
    <row r="3" spans="1:22" x14ac:dyDescent="0.2">
      <c r="A3" t="s">
        <v>5</v>
      </c>
      <c r="B3" t="s">
        <v>6</v>
      </c>
      <c r="C3" s="2">
        <v>21</v>
      </c>
      <c r="D3" s="9">
        <v>2222</v>
      </c>
      <c r="E3" s="7">
        <v>2.11</v>
      </c>
      <c r="F3" s="2">
        <v>0.17</v>
      </c>
      <c r="G3" s="2">
        <v>0.17</v>
      </c>
      <c r="H3" s="2">
        <v>6.19</v>
      </c>
      <c r="I3" s="13">
        <f t="shared" si="0"/>
        <v>0.34087237479806137</v>
      </c>
      <c r="J3" s="2">
        <v>40</v>
      </c>
      <c r="K3" s="2">
        <v>0.32</v>
      </c>
      <c r="L3" s="2">
        <v>0.77</v>
      </c>
      <c r="M3" s="2">
        <v>42.3</v>
      </c>
      <c r="N3" s="7">
        <v>15.9</v>
      </c>
      <c r="O3" s="5">
        <v>1.7</v>
      </c>
      <c r="P3" s="2">
        <v>32.200000000000003</v>
      </c>
      <c r="Q3" s="2">
        <v>33</v>
      </c>
      <c r="R3" s="7">
        <v>278</v>
      </c>
      <c r="S3" s="2">
        <v>4.49</v>
      </c>
      <c r="T3" s="2">
        <v>121.3</v>
      </c>
      <c r="U3" s="2">
        <v>63</v>
      </c>
    </row>
    <row r="4" spans="1:22" x14ac:dyDescent="0.2">
      <c r="A4" t="s">
        <v>7</v>
      </c>
      <c r="B4" t="s">
        <v>8</v>
      </c>
      <c r="C4" s="2">
        <v>29</v>
      </c>
      <c r="D4" s="9">
        <v>1937</v>
      </c>
      <c r="E4" s="7">
        <v>1.91</v>
      </c>
      <c r="F4" s="2">
        <v>0.21</v>
      </c>
      <c r="G4" s="2">
        <v>0.21</v>
      </c>
      <c r="H4" s="2">
        <v>4</v>
      </c>
      <c r="I4" s="13">
        <f t="shared" si="0"/>
        <v>0.47749999999999998</v>
      </c>
      <c r="J4" s="2">
        <v>46.2</v>
      </c>
      <c r="K4" s="2">
        <v>0.28000000000000003</v>
      </c>
      <c r="L4" s="2">
        <v>1.02</v>
      </c>
      <c r="M4" s="2">
        <v>29.3</v>
      </c>
      <c r="N4" s="7">
        <v>16.100000000000001</v>
      </c>
      <c r="O4" s="6">
        <v>-1.5</v>
      </c>
      <c r="P4" s="2">
        <v>34.5</v>
      </c>
      <c r="Q4" s="2">
        <v>24</v>
      </c>
      <c r="R4" s="7">
        <v>162</v>
      </c>
      <c r="S4" s="2">
        <v>3.63</v>
      </c>
      <c r="T4" s="2">
        <v>105.9</v>
      </c>
      <c r="U4" s="2">
        <v>22</v>
      </c>
    </row>
    <row r="5" spans="1:22" x14ac:dyDescent="0.2">
      <c r="A5" t="s">
        <v>9</v>
      </c>
      <c r="B5" t="s">
        <v>10</v>
      </c>
      <c r="C5" s="2">
        <v>22</v>
      </c>
      <c r="D5" s="9">
        <v>1953</v>
      </c>
      <c r="E5" s="7">
        <v>2.21</v>
      </c>
      <c r="F5" s="2">
        <v>0.27</v>
      </c>
      <c r="G5" s="2">
        <v>0.23</v>
      </c>
      <c r="H5" s="2">
        <v>3.13</v>
      </c>
      <c r="I5" s="13">
        <f t="shared" si="0"/>
        <v>0.70607028753993617</v>
      </c>
      <c r="J5" s="2">
        <v>21.1</v>
      </c>
      <c r="K5" s="2">
        <v>0.69</v>
      </c>
      <c r="L5" s="2">
        <v>1.8</v>
      </c>
      <c r="M5" s="2">
        <v>43.8</v>
      </c>
      <c r="N5" s="7">
        <v>17.8</v>
      </c>
      <c r="O5" s="6">
        <v>-0.8</v>
      </c>
      <c r="P5" s="2">
        <v>23.6</v>
      </c>
      <c r="Q5" s="2">
        <v>16</v>
      </c>
      <c r="R5" s="7">
        <v>93</v>
      </c>
      <c r="S5" s="2">
        <v>2.9</v>
      </c>
      <c r="T5" s="2">
        <v>76.2</v>
      </c>
      <c r="U5" s="2">
        <v>20</v>
      </c>
    </row>
    <row r="6" spans="1:22" x14ac:dyDescent="0.2">
      <c r="A6" t="s">
        <v>11</v>
      </c>
      <c r="B6" t="s">
        <v>12</v>
      </c>
      <c r="C6" s="2">
        <v>33</v>
      </c>
      <c r="D6" s="9">
        <v>1695</v>
      </c>
      <c r="E6" s="7">
        <v>1.59</v>
      </c>
      <c r="F6" s="2">
        <v>0.31</v>
      </c>
      <c r="G6" s="2">
        <v>0.31</v>
      </c>
      <c r="H6" s="2">
        <v>3.14</v>
      </c>
      <c r="I6" s="13">
        <f t="shared" si="0"/>
        <v>0.50636942675159236</v>
      </c>
      <c r="J6" s="2">
        <v>38.4</v>
      </c>
      <c r="K6" s="2">
        <v>1.76</v>
      </c>
      <c r="L6" s="2">
        <v>1.49</v>
      </c>
      <c r="M6" s="2">
        <v>46.7</v>
      </c>
      <c r="N6" s="7">
        <v>13.1</v>
      </c>
      <c r="O6" s="5">
        <v>0.2</v>
      </c>
      <c r="P6" s="2">
        <v>21.2</v>
      </c>
      <c r="Q6" s="2">
        <v>8</v>
      </c>
      <c r="R6" s="7">
        <v>104</v>
      </c>
      <c r="S6" s="2">
        <v>2.5499999999999998</v>
      </c>
      <c r="T6" s="2">
        <v>57.7</v>
      </c>
      <c r="U6" s="2">
        <v>19</v>
      </c>
    </row>
    <row r="7" spans="1:22" x14ac:dyDescent="0.2">
      <c r="A7" t="s">
        <v>13</v>
      </c>
      <c r="B7" t="s">
        <v>14</v>
      </c>
      <c r="C7" s="2">
        <v>23</v>
      </c>
      <c r="D7" s="9">
        <v>1324</v>
      </c>
      <c r="E7" s="7">
        <v>2.92</v>
      </c>
      <c r="F7" s="2">
        <v>0.23</v>
      </c>
      <c r="G7" s="2">
        <v>0.23</v>
      </c>
      <c r="H7" s="2">
        <v>3.95</v>
      </c>
      <c r="I7" s="13">
        <f t="shared" si="0"/>
        <v>0.73924050632911387</v>
      </c>
      <c r="J7" s="2">
        <v>8.6999999999999993</v>
      </c>
      <c r="K7" s="2">
        <v>0.14000000000000001</v>
      </c>
      <c r="L7" s="2">
        <v>2.1800000000000002</v>
      </c>
      <c r="M7" s="2">
        <v>34.9</v>
      </c>
      <c r="N7" s="7">
        <v>18.899999999999999</v>
      </c>
      <c r="O7" s="6">
        <v>-2.4</v>
      </c>
      <c r="P7" s="2">
        <v>38.799999999999997</v>
      </c>
      <c r="Q7" s="2">
        <v>22</v>
      </c>
      <c r="R7" s="7">
        <v>149</v>
      </c>
      <c r="S7" s="2">
        <v>3.61</v>
      </c>
      <c r="T7" s="2">
        <v>132.9</v>
      </c>
      <c r="U7" s="2">
        <v>23</v>
      </c>
    </row>
    <row r="8" spans="1:22" x14ac:dyDescent="0.2">
      <c r="A8" t="s">
        <v>15</v>
      </c>
      <c r="B8" t="s">
        <v>16</v>
      </c>
      <c r="C8" s="2">
        <v>25</v>
      </c>
      <c r="D8" s="9">
        <v>1042</v>
      </c>
      <c r="E8" s="7">
        <v>1.9</v>
      </c>
      <c r="F8" s="2">
        <v>0.41</v>
      </c>
      <c r="G8" s="2">
        <v>0.41</v>
      </c>
      <c r="H8" s="2">
        <v>3.71</v>
      </c>
      <c r="I8" s="13">
        <f t="shared" si="0"/>
        <v>0.51212938005390829</v>
      </c>
      <c r="J8" s="2">
        <v>30.4</v>
      </c>
      <c r="K8" s="2">
        <v>1.81</v>
      </c>
      <c r="L8" s="2">
        <v>1.38</v>
      </c>
      <c r="M8" s="2">
        <v>50</v>
      </c>
      <c r="N8" s="7">
        <v>11.5</v>
      </c>
      <c r="O8" s="5">
        <v>1.3</v>
      </c>
      <c r="P8" s="2">
        <v>18</v>
      </c>
      <c r="Q8" s="2">
        <v>10</v>
      </c>
      <c r="R8" s="7">
        <v>45</v>
      </c>
      <c r="S8" s="2">
        <v>0.69</v>
      </c>
      <c r="T8" s="2">
        <v>27.6</v>
      </c>
      <c r="U8" s="2">
        <v>6</v>
      </c>
    </row>
    <row r="9" spans="1:22" x14ac:dyDescent="0.2">
      <c r="A9" t="s">
        <v>17</v>
      </c>
      <c r="B9" t="s">
        <v>18</v>
      </c>
      <c r="C9" s="2">
        <v>25</v>
      </c>
      <c r="D9" s="9">
        <v>951</v>
      </c>
      <c r="E9" s="7">
        <v>3.97</v>
      </c>
      <c r="F9" s="2">
        <v>0.64</v>
      </c>
      <c r="G9" s="2">
        <v>0.56999999999999995</v>
      </c>
      <c r="H9" s="2">
        <v>6.04</v>
      </c>
      <c r="I9" s="13">
        <f t="shared" si="0"/>
        <v>0.65728476821192061</v>
      </c>
      <c r="J9" s="2">
        <v>45.6</v>
      </c>
      <c r="K9" s="2">
        <v>4.43</v>
      </c>
      <c r="L9" s="2">
        <v>1.79</v>
      </c>
      <c r="M9" s="2">
        <v>28.6</v>
      </c>
      <c r="N9" s="7">
        <v>14.7</v>
      </c>
      <c r="O9" s="6">
        <v>-3.8</v>
      </c>
      <c r="P9" s="2">
        <v>23.6</v>
      </c>
      <c r="Q9" s="2">
        <v>11</v>
      </c>
      <c r="R9" s="7">
        <v>58</v>
      </c>
      <c r="S9" s="2">
        <v>1.32</v>
      </c>
      <c r="T9" s="2">
        <v>36.200000000000003</v>
      </c>
      <c r="U9" s="2">
        <v>13</v>
      </c>
    </row>
    <row r="10" spans="1:22" x14ac:dyDescent="0.2">
      <c r="A10" t="s">
        <v>19</v>
      </c>
      <c r="B10" t="s">
        <v>12</v>
      </c>
      <c r="C10" s="2">
        <v>26</v>
      </c>
      <c r="D10" s="9">
        <v>3019</v>
      </c>
      <c r="E10" s="7">
        <v>2.5</v>
      </c>
      <c r="F10" s="2">
        <v>0.35</v>
      </c>
      <c r="G10" s="2">
        <v>0.35</v>
      </c>
      <c r="H10" s="2">
        <v>5.19</v>
      </c>
      <c r="I10" s="13">
        <f t="shared" si="0"/>
        <v>0.48169556840077066</v>
      </c>
      <c r="J10" s="2">
        <v>32</v>
      </c>
      <c r="K10" s="2">
        <v>0.99</v>
      </c>
      <c r="L10" s="2">
        <v>1.25</v>
      </c>
      <c r="M10" s="2">
        <v>44</v>
      </c>
      <c r="N10" s="7">
        <v>14.2</v>
      </c>
      <c r="O10" s="5">
        <v>4.4000000000000004</v>
      </c>
      <c r="P10" s="2">
        <v>22.2</v>
      </c>
      <c r="Q10" s="2">
        <v>31</v>
      </c>
      <c r="R10" s="7">
        <v>186</v>
      </c>
      <c r="S10" s="2">
        <v>2.69</v>
      </c>
      <c r="T10" s="2">
        <v>63.9</v>
      </c>
      <c r="U10" s="2">
        <v>49</v>
      </c>
    </row>
    <row r="11" spans="1:22" x14ac:dyDescent="0.2">
      <c r="A11" t="s">
        <v>20</v>
      </c>
      <c r="B11" t="s">
        <v>18</v>
      </c>
      <c r="C11" s="2">
        <v>26</v>
      </c>
      <c r="D11" s="9">
        <v>2171</v>
      </c>
      <c r="E11" s="7">
        <v>2.94</v>
      </c>
      <c r="F11" s="2">
        <v>0.54</v>
      </c>
      <c r="G11" s="2">
        <v>0.47</v>
      </c>
      <c r="H11" s="2">
        <v>5.15</v>
      </c>
      <c r="I11" s="13">
        <f t="shared" si="0"/>
        <v>0.57087378640776698</v>
      </c>
      <c r="J11" s="2">
        <v>48.8</v>
      </c>
      <c r="K11" s="2">
        <v>5.68</v>
      </c>
      <c r="L11" s="2">
        <v>1.33</v>
      </c>
      <c r="M11" s="2">
        <v>39.4</v>
      </c>
      <c r="N11" s="7">
        <v>13.9</v>
      </c>
      <c r="O11" s="6">
        <v>-5.9</v>
      </c>
      <c r="P11" s="2">
        <v>23.4</v>
      </c>
      <c r="Q11" s="2">
        <v>19</v>
      </c>
      <c r="R11" s="7">
        <v>122</v>
      </c>
      <c r="S11" s="2">
        <v>1.49</v>
      </c>
      <c r="T11" s="2">
        <v>32.9</v>
      </c>
      <c r="U11" s="2">
        <v>22</v>
      </c>
    </row>
    <row r="12" spans="1:22" x14ac:dyDescent="0.2">
      <c r="A12" t="s">
        <v>21</v>
      </c>
      <c r="B12" t="s">
        <v>22</v>
      </c>
      <c r="C12" s="2">
        <v>30</v>
      </c>
      <c r="D12" s="9">
        <v>1423</v>
      </c>
      <c r="E12" s="7">
        <v>2.09</v>
      </c>
      <c r="F12" s="2">
        <v>0.28999999999999998</v>
      </c>
      <c r="G12" s="2">
        <v>0.28000000000000003</v>
      </c>
      <c r="H12" s="2">
        <v>3.48</v>
      </c>
      <c r="I12" s="13">
        <f t="shared" si="0"/>
        <v>0.60057471264367812</v>
      </c>
      <c r="J12" s="2">
        <v>35.1</v>
      </c>
      <c r="K12" s="2">
        <v>0.82</v>
      </c>
      <c r="L12" s="2">
        <v>1.58</v>
      </c>
      <c r="M12" s="2">
        <v>24.2</v>
      </c>
      <c r="N12" s="7">
        <v>15.7</v>
      </c>
      <c r="O12" s="5">
        <v>1.4</v>
      </c>
      <c r="P12" s="2">
        <v>30.1</v>
      </c>
      <c r="Q12" s="2">
        <v>17</v>
      </c>
      <c r="R12" s="7">
        <v>95</v>
      </c>
      <c r="S12" s="2">
        <v>2.2200000000000002</v>
      </c>
      <c r="T12" s="2">
        <v>57</v>
      </c>
      <c r="U12" s="2">
        <v>11</v>
      </c>
    </row>
    <row r="13" spans="1:22" x14ac:dyDescent="0.2">
      <c r="A13" t="s">
        <v>23</v>
      </c>
      <c r="B13" t="s">
        <v>24</v>
      </c>
      <c r="C13" s="2">
        <v>26</v>
      </c>
      <c r="D13" s="9">
        <v>2629</v>
      </c>
      <c r="E13" s="7">
        <v>3.22</v>
      </c>
      <c r="F13" s="2">
        <v>0.41</v>
      </c>
      <c r="G13" s="2">
        <v>0.41</v>
      </c>
      <c r="H13" s="2">
        <v>7.5</v>
      </c>
      <c r="I13" s="13">
        <f t="shared" si="0"/>
        <v>0.42933333333333334</v>
      </c>
      <c r="J13" s="2">
        <v>35.1</v>
      </c>
      <c r="K13" s="2">
        <v>0.89</v>
      </c>
      <c r="L13" s="2">
        <v>1.44</v>
      </c>
      <c r="M13" s="2">
        <v>34</v>
      </c>
      <c r="N13" s="7">
        <v>15</v>
      </c>
      <c r="O13" s="6">
        <v>-3.9</v>
      </c>
      <c r="P13" s="2">
        <v>38.6</v>
      </c>
      <c r="Q13" s="2">
        <v>64</v>
      </c>
      <c r="R13" s="7">
        <v>302</v>
      </c>
      <c r="S13" s="2">
        <v>4.6900000000000004</v>
      </c>
      <c r="T13" s="2">
        <v>126.4</v>
      </c>
      <c r="U13" s="2">
        <v>70</v>
      </c>
    </row>
    <row r="14" spans="1:22" x14ac:dyDescent="0.2">
      <c r="A14" t="s">
        <v>25</v>
      </c>
      <c r="B14" t="s">
        <v>6</v>
      </c>
      <c r="C14" s="2">
        <v>18</v>
      </c>
      <c r="D14" s="9">
        <v>1367</v>
      </c>
      <c r="E14" s="7">
        <v>2.17</v>
      </c>
      <c r="F14" s="2">
        <v>0.3</v>
      </c>
      <c r="G14" s="2">
        <v>0.3</v>
      </c>
      <c r="H14" s="2">
        <v>2.96</v>
      </c>
      <c r="I14" s="13">
        <f t="shared" si="0"/>
        <v>0.73310810810810811</v>
      </c>
      <c r="J14" s="2">
        <v>41.9</v>
      </c>
      <c r="K14" s="2">
        <v>0.86</v>
      </c>
      <c r="L14" s="2">
        <v>1.64</v>
      </c>
      <c r="M14" s="2">
        <v>60.6</v>
      </c>
      <c r="N14" s="7">
        <v>15.5</v>
      </c>
      <c r="O14" s="5">
        <v>1.4</v>
      </c>
      <c r="P14" s="2">
        <v>22.1</v>
      </c>
      <c r="Q14" s="2">
        <v>6</v>
      </c>
      <c r="R14" s="7">
        <v>62</v>
      </c>
      <c r="S14" s="2">
        <v>0.86</v>
      </c>
      <c r="T14" s="2">
        <v>27.2</v>
      </c>
      <c r="U14" s="2">
        <v>5</v>
      </c>
    </row>
    <row r="15" spans="1:22" x14ac:dyDescent="0.2">
      <c r="A15" t="s">
        <v>26</v>
      </c>
      <c r="B15" t="s">
        <v>14</v>
      </c>
      <c r="C15" s="2">
        <v>19</v>
      </c>
      <c r="D15" s="9">
        <v>2565</v>
      </c>
      <c r="E15" s="7">
        <v>3.51</v>
      </c>
      <c r="F15" s="2">
        <v>0.28999999999999998</v>
      </c>
      <c r="G15" s="2">
        <v>0.28999999999999998</v>
      </c>
      <c r="H15" s="2">
        <v>8.6999999999999993</v>
      </c>
      <c r="I15" s="13">
        <f t="shared" si="0"/>
        <v>0.40344827586206899</v>
      </c>
      <c r="J15" s="2">
        <v>19.399999999999999</v>
      </c>
      <c r="K15" s="2">
        <v>0.21</v>
      </c>
      <c r="L15" s="2">
        <v>1.89</v>
      </c>
      <c r="M15" s="2">
        <v>27</v>
      </c>
      <c r="N15" s="7">
        <v>15.8</v>
      </c>
      <c r="O15" s="6">
        <v>-1.4</v>
      </c>
      <c r="P15" s="2">
        <v>35.299999999999997</v>
      </c>
      <c r="Q15" s="2">
        <v>46</v>
      </c>
      <c r="R15" s="7">
        <v>281</v>
      </c>
      <c r="S15" s="2">
        <v>6.25</v>
      </c>
      <c r="T15" s="2">
        <v>147.80000000000001</v>
      </c>
      <c r="U15" s="2">
        <v>102</v>
      </c>
    </row>
    <row r="16" spans="1:22" x14ac:dyDescent="0.2">
      <c r="A16" t="s">
        <v>27</v>
      </c>
      <c r="B16" t="s">
        <v>8</v>
      </c>
      <c r="C16" s="2">
        <v>22</v>
      </c>
      <c r="D16" s="9">
        <v>2890</v>
      </c>
      <c r="E16" s="7">
        <v>2.4900000000000002</v>
      </c>
      <c r="F16" s="2">
        <v>0.32</v>
      </c>
      <c r="G16" s="2">
        <v>0.28999999999999998</v>
      </c>
      <c r="H16" s="2">
        <v>4.58</v>
      </c>
      <c r="I16" s="13">
        <f t="shared" si="0"/>
        <v>0.54366812227074235</v>
      </c>
      <c r="J16" s="2">
        <v>34.6</v>
      </c>
      <c r="K16" s="2">
        <v>0.28000000000000003</v>
      </c>
      <c r="L16" s="2">
        <v>2.09</v>
      </c>
      <c r="M16" s="2">
        <v>36.299999999999997</v>
      </c>
      <c r="N16" s="7">
        <v>17.3</v>
      </c>
      <c r="O16" s="5">
        <v>0.8</v>
      </c>
      <c r="P16" s="2">
        <v>32</v>
      </c>
      <c r="Q16" s="2">
        <v>57</v>
      </c>
      <c r="R16" s="7">
        <v>232</v>
      </c>
      <c r="S16" s="2">
        <v>4.3</v>
      </c>
      <c r="T16" s="2">
        <v>114.3</v>
      </c>
      <c r="U16" s="2">
        <v>59</v>
      </c>
    </row>
    <row r="17" spans="1:21" x14ac:dyDescent="0.2">
      <c r="A17" t="s">
        <v>28</v>
      </c>
      <c r="B17" t="s">
        <v>29</v>
      </c>
      <c r="C17" s="2">
        <v>23</v>
      </c>
      <c r="D17" s="9">
        <v>2552</v>
      </c>
      <c r="E17" s="7">
        <v>3.99</v>
      </c>
      <c r="F17" s="2">
        <v>1.03</v>
      </c>
      <c r="G17" s="2">
        <v>0.81</v>
      </c>
      <c r="H17" s="2">
        <v>6.44</v>
      </c>
      <c r="I17" s="13">
        <f t="shared" si="0"/>
        <v>0.61956521739130432</v>
      </c>
      <c r="J17" s="2">
        <v>48.1</v>
      </c>
      <c r="K17" s="2">
        <v>1.37</v>
      </c>
      <c r="L17" s="2">
        <v>1.0900000000000001</v>
      </c>
      <c r="M17" s="2">
        <v>44.2</v>
      </c>
      <c r="N17" s="7">
        <v>11.9</v>
      </c>
      <c r="O17" s="6">
        <v>-2.2000000000000002</v>
      </c>
      <c r="P17" s="2">
        <v>17.2</v>
      </c>
      <c r="Q17" s="2">
        <v>29</v>
      </c>
      <c r="R17" s="7">
        <v>126</v>
      </c>
      <c r="S17" s="2">
        <v>1.23</v>
      </c>
      <c r="T17" s="2">
        <v>25.6</v>
      </c>
      <c r="U17" s="2">
        <v>22</v>
      </c>
    </row>
    <row r="18" spans="1:21" x14ac:dyDescent="0.2">
      <c r="A18" t="s">
        <v>30</v>
      </c>
      <c r="B18" t="s">
        <v>31</v>
      </c>
      <c r="C18" s="2">
        <v>31</v>
      </c>
      <c r="D18" s="9">
        <v>2934</v>
      </c>
      <c r="E18" s="7">
        <v>2.5499999999999998</v>
      </c>
      <c r="F18" s="2">
        <v>0.37</v>
      </c>
      <c r="G18" s="2">
        <v>0.32</v>
      </c>
      <c r="H18" s="2">
        <v>6.5</v>
      </c>
      <c r="I18" s="13">
        <f t="shared" si="0"/>
        <v>0.3923076923076923</v>
      </c>
      <c r="J18" s="2">
        <v>23.8</v>
      </c>
      <c r="K18" s="2">
        <v>0.15</v>
      </c>
      <c r="L18" s="2">
        <v>1.2</v>
      </c>
      <c r="M18" s="2">
        <v>45.8</v>
      </c>
      <c r="N18" s="7">
        <v>15.5</v>
      </c>
      <c r="O18" s="5">
        <v>5</v>
      </c>
      <c r="P18" s="2">
        <v>33.700000000000003</v>
      </c>
      <c r="Q18" s="2">
        <v>68</v>
      </c>
      <c r="R18" s="7">
        <v>325</v>
      </c>
      <c r="S18" s="2">
        <v>3.65</v>
      </c>
      <c r="T18" s="2">
        <v>91.7</v>
      </c>
      <c r="U18" s="2">
        <v>64</v>
      </c>
    </row>
    <row r="19" spans="1:21" x14ac:dyDescent="0.2">
      <c r="A19" t="s">
        <v>32</v>
      </c>
      <c r="B19" t="s">
        <v>14</v>
      </c>
      <c r="C19" s="2">
        <v>20</v>
      </c>
      <c r="D19" s="9">
        <v>2158</v>
      </c>
      <c r="E19" s="7">
        <v>1.58</v>
      </c>
      <c r="F19" s="2">
        <v>0.32</v>
      </c>
      <c r="G19" s="2">
        <v>0.32</v>
      </c>
      <c r="H19" s="2">
        <v>4</v>
      </c>
      <c r="I19" s="13">
        <f t="shared" si="0"/>
        <v>0.39500000000000002</v>
      </c>
      <c r="J19" s="2">
        <v>27.8</v>
      </c>
      <c r="K19" s="2">
        <v>1.04</v>
      </c>
      <c r="L19" s="2">
        <v>1.25</v>
      </c>
      <c r="M19" s="2">
        <v>52.6</v>
      </c>
      <c r="N19" s="7">
        <v>11.6</v>
      </c>
      <c r="O19" s="5">
        <v>2.4</v>
      </c>
      <c r="P19" s="2">
        <v>17.899999999999999</v>
      </c>
      <c r="Q19" s="2">
        <v>28</v>
      </c>
      <c r="R19" s="7">
        <v>111</v>
      </c>
      <c r="S19" s="2">
        <v>1.46</v>
      </c>
      <c r="T19" s="2">
        <v>45.3</v>
      </c>
      <c r="U19" s="2">
        <v>14</v>
      </c>
    </row>
    <row r="20" spans="1:21" x14ac:dyDescent="0.2">
      <c r="A20" t="s">
        <v>33</v>
      </c>
      <c r="B20" t="s">
        <v>8</v>
      </c>
      <c r="C20" s="2">
        <v>23</v>
      </c>
      <c r="D20" s="9">
        <v>2255</v>
      </c>
      <c r="E20" s="7">
        <v>2.87</v>
      </c>
      <c r="F20" s="2">
        <v>0.81</v>
      </c>
      <c r="G20" s="2">
        <v>0.62</v>
      </c>
      <c r="H20" s="2">
        <v>5.54</v>
      </c>
      <c r="I20" s="13">
        <f t="shared" si="0"/>
        <v>0.51805054151624552</v>
      </c>
      <c r="J20" s="2">
        <v>20.399999999999999</v>
      </c>
      <c r="K20" s="2">
        <v>0.4</v>
      </c>
      <c r="L20" s="2">
        <v>0.6</v>
      </c>
      <c r="M20" s="2">
        <v>50</v>
      </c>
      <c r="N20" s="7">
        <v>14.5</v>
      </c>
      <c r="O20" s="5">
        <v>0.7</v>
      </c>
      <c r="P20" s="2">
        <v>20.399999999999999</v>
      </c>
      <c r="Q20" s="2">
        <v>27</v>
      </c>
      <c r="R20" s="7">
        <v>129</v>
      </c>
      <c r="S20" s="2">
        <v>2.71</v>
      </c>
      <c r="T20" s="2">
        <v>64.3</v>
      </c>
      <c r="U20" s="2">
        <v>38</v>
      </c>
    </row>
    <row r="21" spans="1:21" x14ac:dyDescent="0.2">
      <c r="A21" t="s">
        <v>34</v>
      </c>
      <c r="B21" t="s">
        <v>35</v>
      </c>
      <c r="C21" s="2">
        <v>22</v>
      </c>
      <c r="D21" s="9">
        <v>2799</v>
      </c>
      <c r="E21" s="7">
        <v>2.57</v>
      </c>
      <c r="F21" s="2">
        <v>0.6</v>
      </c>
      <c r="G21" s="2">
        <v>0.6</v>
      </c>
      <c r="H21" s="2">
        <v>4.8600000000000003</v>
      </c>
      <c r="I21" s="13">
        <f t="shared" si="0"/>
        <v>0.5288065843621399</v>
      </c>
      <c r="J21" s="2">
        <v>35.700000000000003</v>
      </c>
      <c r="K21" s="2">
        <v>1.1299999999999999</v>
      </c>
      <c r="L21" s="2">
        <v>1.29</v>
      </c>
      <c r="M21" s="2">
        <v>47.5</v>
      </c>
      <c r="N21" s="7">
        <v>12.6</v>
      </c>
      <c r="O21" s="6">
        <v>-4.5999999999999996</v>
      </c>
      <c r="P21" s="2">
        <v>24.2</v>
      </c>
      <c r="Q21" s="2">
        <v>38</v>
      </c>
      <c r="R21" s="7">
        <v>200</v>
      </c>
      <c r="S21" s="2">
        <v>2.25</v>
      </c>
      <c r="T21" s="2">
        <v>68.2</v>
      </c>
      <c r="U21" s="2">
        <v>32</v>
      </c>
    </row>
    <row r="22" spans="1:21" x14ac:dyDescent="0.2">
      <c r="A22" t="s">
        <v>36</v>
      </c>
      <c r="B22" t="s">
        <v>37</v>
      </c>
      <c r="C22" s="2">
        <v>26</v>
      </c>
      <c r="D22" s="9">
        <v>1478</v>
      </c>
      <c r="E22" s="7">
        <v>3.35</v>
      </c>
      <c r="F22" s="2">
        <v>0.38</v>
      </c>
      <c r="G22" s="2">
        <v>0.39</v>
      </c>
      <c r="H22" s="2">
        <v>8.48</v>
      </c>
      <c r="I22" s="13">
        <f t="shared" si="0"/>
        <v>0.39504716981132076</v>
      </c>
      <c r="J22" s="2">
        <v>28.3</v>
      </c>
      <c r="K22" s="2">
        <v>0.91</v>
      </c>
      <c r="L22" s="2">
        <v>1.95</v>
      </c>
      <c r="M22" s="2">
        <v>34.5</v>
      </c>
      <c r="N22" s="7">
        <v>12.2</v>
      </c>
      <c r="O22" s="6">
        <v>-2.2999999999999998</v>
      </c>
      <c r="P22" s="2">
        <v>34.6</v>
      </c>
      <c r="Q22" s="2">
        <v>29</v>
      </c>
      <c r="R22" s="7">
        <v>155</v>
      </c>
      <c r="S22" s="2">
        <v>2.3199999999999998</v>
      </c>
      <c r="T22" s="2">
        <v>69.900000000000006</v>
      </c>
      <c r="U22" s="2">
        <v>25</v>
      </c>
    </row>
    <row r="23" spans="1:21" x14ac:dyDescent="0.2">
      <c r="A23" t="s">
        <v>38</v>
      </c>
      <c r="B23" t="s">
        <v>22</v>
      </c>
      <c r="C23" s="2">
        <v>32</v>
      </c>
      <c r="D23" s="9">
        <v>1395</v>
      </c>
      <c r="E23" s="7">
        <v>2.65</v>
      </c>
      <c r="F23" s="2">
        <v>0.34</v>
      </c>
      <c r="G23" s="2">
        <v>0.33</v>
      </c>
      <c r="H23" s="2">
        <v>4.32</v>
      </c>
      <c r="I23" s="13">
        <f t="shared" si="0"/>
        <v>0.61342592592592582</v>
      </c>
      <c r="J23" s="2">
        <v>42.7</v>
      </c>
      <c r="K23" s="2">
        <v>2.84</v>
      </c>
      <c r="L23" s="2">
        <v>1.35</v>
      </c>
      <c r="M23" s="2">
        <v>41.5</v>
      </c>
      <c r="N23" s="7">
        <v>14.7</v>
      </c>
      <c r="O23" s="5">
        <v>1.8</v>
      </c>
      <c r="P23" s="2">
        <v>28.5</v>
      </c>
      <c r="Q23" s="2">
        <v>11</v>
      </c>
      <c r="R23" s="7">
        <v>87</v>
      </c>
      <c r="S23" s="2">
        <v>0.71</v>
      </c>
      <c r="T23" s="2">
        <v>29.2</v>
      </c>
      <c r="U23" s="2">
        <v>5</v>
      </c>
    </row>
    <row r="24" spans="1:21" x14ac:dyDescent="0.2">
      <c r="A24" t="s">
        <v>39</v>
      </c>
      <c r="B24" t="s">
        <v>31</v>
      </c>
      <c r="C24" s="2">
        <v>22</v>
      </c>
      <c r="D24" s="9">
        <v>2085</v>
      </c>
      <c r="E24" s="7">
        <v>2.16</v>
      </c>
      <c r="F24" s="2">
        <v>0.44</v>
      </c>
      <c r="G24" s="2">
        <v>0.44</v>
      </c>
      <c r="H24" s="2">
        <v>6.64</v>
      </c>
      <c r="I24" s="13">
        <f t="shared" si="0"/>
        <v>0.32530120481927716</v>
      </c>
      <c r="J24" s="2">
        <v>23.8</v>
      </c>
      <c r="K24" s="2">
        <v>0.22</v>
      </c>
      <c r="L24" s="2">
        <v>1.25</v>
      </c>
      <c r="M24" s="2">
        <v>38</v>
      </c>
      <c r="N24" s="7">
        <v>12.9</v>
      </c>
      <c r="O24" s="6">
        <v>-5.3</v>
      </c>
      <c r="P24" s="2">
        <v>32.200000000000003</v>
      </c>
      <c r="Q24" s="2">
        <v>45</v>
      </c>
      <c r="R24" s="7">
        <v>293</v>
      </c>
      <c r="S24" s="2">
        <v>4.18</v>
      </c>
      <c r="T24" s="2">
        <v>90.1</v>
      </c>
      <c r="U24" s="2">
        <v>48</v>
      </c>
    </row>
    <row r="25" spans="1:21" x14ac:dyDescent="0.2">
      <c r="A25" t="s">
        <v>40</v>
      </c>
      <c r="B25" t="s">
        <v>24</v>
      </c>
      <c r="C25" s="2">
        <v>26</v>
      </c>
      <c r="D25" s="9">
        <v>1145</v>
      </c>
      <c r="E25" s="7">
        <v>3.22</v>
      </c>
      <c r="F25" s="2">
        <v>0.42</v>
      </c>
      <c r="G25" s="2">
        <v>0.42</v>
      </c>
      <c r="H25" s="2">
        <v>8.43</v>
      </c>
      <c r="I25" s="13">
        <f t="shared" si="0"/>
        <v>0.38196915776986956</v>
      </c>
      <c r="J25" s="2">
        <v>30.9</v>
      </c>
      <c r="K25" s="2">
        <v>1.34</v>
      </c>
      <c r="L25" s="2">
        <v>1.65</v>
      </c>
      <c r="M25" s="2">
        <v>46.3</v>
      </c>
      <c r="N25" s="7">
        <v>12.3</v>
      </c>
      <c r="O25" s="5">
        <v>4.7</v>
      </c>
      <c r="P25" s="2">
        <v>33.6</v>
      </c>
      <c r="Q25" s="2">
        <v>22</v>
      </c>
      <c r="R25" s="7">
        <v>111</v>
      </c>
      <c r="S25" s="2">
        <v>4.25</v>
      </c>
      <c r="T25" s="2">
        <v>97.6</v>
      </c>
      <c r="U25" s="2">
        <v>23</v>
      </c>
    </row>
    <row r="26" spans="1:21" x14ac:dyDescent="0.2">
      <c r="A26" t="s">
        <v>41</v>
      </c>
      <c r="B26" t="s">
        <v>35</v>
      </c>
      <c r="C26" s="2">
        <v>21</v>
      </c>
      <c r="D26" s="9">
        <v>1053</v>
      </c>
      <c r="E26" s="7">
        <v>2.65</v>
      </c>
      <c r="F26" s="2">
        <v>0.21</v>
      </c>
      <c r="G26" s="2">
        <v>0.14000000000000001</v>
      </c>
      <c r="H26" s="2">
        <v>6.58</v>
      </c>
      <c r="I26" s="13">
        <f t="shared" si="0"/>
        <v>0.40273556231003038</v>
      </c>
      <c r="J26" s="2">
        <v>41.2</v>
      </c>
      <c r="K26" s="2">
        <v>0.6</v>
      </c>
      <c r="L26" s="2">
        <v>1.62</v>
      </c>
      <c r="M26" s="2">
        <v>38.700000000000003</v>
      </c>
      <c r="N26" s="7">
        <v>19</v>
      </c>
      <c r="O26" s="5">
        <v>2.5</v>
      </c>
      <c r="P26" s="2">
        <v>43.1</v>
      </c>
      <c r="Q26" s="2">
        <v>20</v>
      </c>
      <c r="R26" s="7">
        <v>136</v>
      </c>
      <c r="S26" s="2">
        <v>6.5</v>
      </c>
      <c r="T26" s="2">
        <v>187.3</v>
      </c>
      <c r="U26" s="2">
        <v>38</v>
      </c>
    </row>
    <row r="27" spans="1:21" x14ac:dyDescent="0.2">
      <c r="A27" t="s">
        <v>42</v>
      </c>
      <c r="B27" t="s">
        <v>37</v>
      </c>
      <c r="C27" s="2">
        <v>22</v>
      </c>
      <c r="D27" s="9">
        <v>2019</v>
      </c>
      <c r="E27" s="7">
        <v>2.59</v>
      </c>
      <c r="F27" s="2">
        <v>0.3</v>
      </c>
      <c r="G27" s="2">
        <v>0.31</v>
      </c>
      <c r="H27" s="2">
        <v>8.75</v>
      </c>
      <c r="I27" s="13">
        <f t="shared" si="0"/>
        <v>0.29599999999999999</v>
      </c>
      <c r="J27" s="2">
        <v>36.6</v>
      </c>
      <c r="K27" s="2">
        <v>0.67</v>
      </c>
      <c r="L27" s="2">
        <v>1.07</v>
      </c>
      <c r="M27" s="2">
        <v>34.5</v>
      </c>
      <c r="N27" s="7">
        <v>15.6</v>
      </c>
      <c r="O27" s="6">
        <v>-0.8</v>
      </c>
      <c r="P27" s="2">
        <v>42.7</v>
      </c>
      <c r="Q27" s="2">
        <v>46</v>
      </c>
      <c r="R27" s="7">
        <v>345</v>
      </c>
      <c r="S27" s="2">
        <v>5.67</v>
      </c>
      <c r="T27" s="2">
        <v>133.1</v>
      </c>
      <c r="U27" s="2">
        <v>82</v>
      </c>
    </row>
    <row r="28" spans="1:21" x14ac:dyDescent="0.2">
      <c r="A28" t="s">
        <v>43</v>
      </c>
      <c r="B28" t="s">
        <v>44</v>
      </c>
      <c r="C28" s="2">
        <v>26</v>
      </c>
      <c r="D28" s="9">
        <v>2282</v>
      </c>
      <c r="E28" s="7">
        <v>1.74</v>
      </c>
      <c r="F28" s="2">
        <v>0.43</v>
      </c>
      <c r="G28" s="2">
        <v>0.37</v>
      </c>
      <c r="H28" s="2">
        <v>4.0199999999999996</v>
      </c>
      <c r="I28" s="13">
        <f t="shared" si="0"/>
        <v>0.43283582089552242</v>
      </c>
      <c r="J28" s="2">
        <v>42.4</v>
      </c>
      <c r="K28" s="2">
        <v>1.97</v>
      </c>
      <c r="L28" s="2">
        <v>0.87</v>
      </c>
      <c r="M28" s="2">
        <v>56.8</v>
      </c>
      <c r="N28" s="7">
        <v>12.7</v>
      </c>
      <c r="O28" s="5">
        <v>5.0999999999999996</v>
      </c>
      <c r="P28" s="2">
        <v>21.2</v>
      </c>
      <c r="Q28" s="2">
        <v>32</v>
      </c>
      <c r="R28" s="7">
        <v>135</v>
      </c>
      <c r="S28" s="2">
        <v>1.1399999999999999</v>
      </c>
      <c r="T28" s="2">
        <v>29.1</v>
      </c>
      <c r="U28" s="2">
        <v>14</v>
      </c>
    </row>
    <row r="29" spans="1:21" x14ac:dyDescent="0.2">
      <c r="A29" t="s">
        <v>45</v>
      </c>
      <c r="B29" t="s">
        <v>46</v>
      </c>
      <c r="C29" s="2">
        <v>26</v>
      </c>
      <c r="D29" s="9">
        <v>1321</v>
      </c>
      <c r="E29" s="7">
        <v>2.52</v>
      </c>
      <c r="F29" s="2">
        <v>0.39</v>
      </c>
      <c r="G29" s="2">
        <v>0.39</v>
      </c>
      <c r="H29" s="2">
        <v>4.83</v>
      </c>
      <c r="I29" s="13">
        <f t="shared" si="0"/>
        <v>0.52173913043478259</v>
      </c>
      <c r="J29" s="2">
        <v>25.5</v>
      </c>
      <c r="K29" s="2">
        <v>0.95</v>
      </c>
      <c r="L29" s="2">
        <v>1.77</v>
      </c>
      <c r="M29" s="2">
        <v>37.799999999999997</v>
      </c>
      <c r="N29" s="7">
        <v>15.3</v>
      </c>
      <c r="O29" s="5">
        <v>0.3</v>
      </c>
      <c r="P29" s="2">
        <v>25.8</v>
      </c>
      <c r="Q29" s="2">
        <v>15</v>
      </c>
      <c r="R29" s="7">
        <v>91</v>
      </c>
      <c r="S29" s="2">
        <v>1.43</v>
      </c>
      <c r="T29" s="2">
        <v>38.799999999999997</v>
      </c>
      <c r="U29" s="2">
        <v>12</v>
      </c>
    </row>
    <row r="30" spans="1:21" x14ac:dyDescent="0.2">
      <c r="A30" t="s">
        <v>47</v>
      </c>
      <c r="B30" t="s">
        <v>46</v>
      </c>
      <c r="C30" s="2">
        <v>23</v>
      </c>
      <c r="D30" s="9">
        <v>1960</v>
      </c>
      <c r="E30" s="7">
        <v>2.2999999999999998</v>
      </c>
      <c r="F30" s="2">
        <v>0.45</v>
      </c>
      <c r="G30" s="2">
        <v>0.34</v>
      </c>
      <c r="H30" s="2">
        <v>5.09</v>
      </c>
      <c r="I30" s="13">
        <f t="shared" si="0"/>
        <v>0.45186640471512768</v>
      </c>
      <c r="J30" s="2">
        <v>34.299999999999997</v>
      </c>
      <c r="K30" s="2">
        <v>1.06</v>
      </c>
      <c r="L30" s="2">
        <v>1.93</v>
      </c>
      <c r="M30" s="2">
        <v>32</v>
      </c>
      <c r="N30" s="7">
        <v>17.100000000000001</v>
      </c>
      <c r="O30" s="6">
        <v>-0.8</v>
      </c>
      <c r="P30" s="2">
        <v>33.299999999999997</v>
      </c>
      <c r="Q30" s="2">
        <v>32</v>
      </c>
      <c r="R30" s="7">
        <v>195</v>
      </c>
      <c r="S30" s="2">
        <v>3.39</v>
      </c>
      <c r="T30" s="2">
        <v>97</v>
      </c>
      <c r="U30" s="2">
        <v>38</v>
      </c>
    </row>
    <row r="31" spans="1:21" x14ac:dyDescent="0.2">
      <c r="A31" t="s">
        <v>48</v>
      </c>
      <c r="B31" t="s">
        <v>49</v>
      </c>
      <c r="C31" s="2">
        <v>27</v>
      </c>
      <c r="D31" s="9">
        <v>1280</v>
      </c>
      <c r="E31" s="7">
        <v>2.1800000000000002</v>
      </c>
      <c r="F31" s="2">
        <v>0.49</v>
      </c>
      <c r="G31" s="2">
        <v>0.37</v>
      </c>
      <c r="H31" s="2">
        <v>5.21</v>
      </c>
      <c r="I31" s="13">
        <f t="shared" si="0"/>
        <v>0.41842610364683303</v>
      </c>
      <c r="J31" s="2">
        <v>49.3</v>
      </c>
      <c r="K31" s="2">
        <v>7.75</v>
      </c>
      <c r="L31" s="2">
        <v>1.9</v>
      </c>
      <c r="M31" s="2">
        <v>48.4</v>
      </c>
      <c r="N31" s="7">
        <v>11.9</v>
      </c>
      <c r="O31" s="6">
        <v>-0.9</v>
      </c>
      <c r="P31" s="2">
        <v>29.6</v>
      </c>
      <c r="Q31" s="2">
        <v>12</v>
      </c>
      <c r="R31" s="7">
        <v>60</v>
      </c>
      <c r="S31" s="2">
        <v>0.42</v>
      </c>
      <c r="T31" s="2">
        <v>21.5</v>
      </c>
      <c r="U31" s="2">
        <v>4</v>
      </c>
    </row>
    <row r="32" spans="1:21" x14ac:dyDescent="0.2">
      <c r="A32" t="s">
        <v>50</v>
      </c>
      <c r="B32" t="s">
        <v>6</v>
      </c>
      <c r="C32" s="2">
        <v>26</v>
      </c>
      <c r="D32" s="9">
        <v>1486</v>
      </c>
      <c r="E32" s="7">
        <v>2.06</v>
      </c>
      <c r="F32" s="2">
        <v>0.21</v>
      </c>
      <c r="G32" s="2">
        <v>0.21</v>
      </c>
      <c r="H32" s="2">
        <v>8.24</v>
      </c>
      <c r="I32" s="13">
        <f t="shared" si="0"/>
        <v>0.25</v>
      </c>
      <c r="J32" s="2">
        <v>50</v>
      </c>
      <c r="K32" s="2">
        <v>0.67</v>
      </c>
      <c r="L32" s="2">
        <v>1.39</v>
      </c>
      <c r="M32" s="2">
        <v>44.1</v>
      </c>
      <c r="N32" s="7">
        <v>13.2</v>
      </c>
      <c r="O32" s="6">
        <v>-0.5</v>
      </c>
      <c r="P32" s="2">
        <v>41</v>
      </c>
      <c r="Q32" s="2">
        <v>25</v>
      </c>
      <c r="R32" s="7">
        <v>239</v>
      </c>
      <c r="S32" s="2">
        <v>7.33</v>
      </c>
      <c r="T32" s="2">
        <v>190.7</v>
      </c>
      <c r="U32" s="2">
        <v>62</v>
      </c>
    </row>
    <row r="33" spans="1:21" x14ac:dyDescent="0.2">
      <c r="A33" t="s">
        <v>51</v>
      </c>
      <c r="B33" t="s">
        <v>35</v>
      </c>
      <c r="C33" s="2">
        <v>22</v>
      </c>
      <c r="D33" s="9">
        <v>1576</v>
      </c>
      <c r="E33" s="7">
        <v>2</v>
      </c>
      <c r="F33" s="2">
        <v>0.25</v>
      </c>
      <c r="G33" s="2">
        <v>0.25</v>
      </c>
      <c r="H33" s="2">
        <v>4.46</v>
      </c>
      <c r="I33" s="13">
        <f t="shared" si="0"/>
        <v>0.44843049327354262</v>
      </c>
      <c r="J33" s="2">
        <v>35</v>
      </c>
      <c r="K33" s="2">
        <v>0.4</v>
      </c>
      <c r="L33" s="2">
        <v>1.54</v>
      </c>
      <c r="M33" s="2">
        <v>34.299999999999997</v>
      </c>
      <c r="N33" s="7">
        <v>17.2</v>
      </c>
      <c r="O33" s="5">
        <v>0.6</v>
      </c>
      <c r="P33" s="2">
        <v>32.700000000000003</v>
      </c>
      <c r="Q33" s="2">
        <v>32</v>
      </c>
      <c r="R33" s="7">
        <v>139</v>
      </c>
      <c r="S33" s="2">
        <v>5.26</v>
      </c>
      <c r="T33" s="2">
        <v>138.19999999999999</v>
      </c>
      <c r="U33" s="2">
        <v>36</v>
      </c>
    </row>
    <row r="34" spans="1:21" x14ac:dyDescent="0.2">
      <c r="A34" t="s">
        <v>52</v>
      </c>
      <c r="B34" t="s">
        <v>22</v>
      </c>
      <c r="C34" s="2">
        <v>22</v>
      </c>
      <c r="D34" s="9">
        <v>1593</v>
      </c>
      <c r="E34" s="7">
        <v>4.12</v>
      </c>
      <c r="F34" s="2">
        <v>0.49</v>
      </c>
      <c r="G34" s="2">
        <v>0.49</v>
      </c>
      <c r="H34" s="2">
        <v>6.67</v>
      </c>
      <c r="I34" s="13">
        <f t="shared" ref="I34:I50" si="1">E34/H34</f>
        <v>0.61769115442278866</v>
      </c>
      <c r="J34" s="2">
        <v>40.4</v>
      </c>
      <c r="K34" s="2">
        <v>4.18</v>
      </c>
      <c r="L34" s="2">
        <v>1.92</v>
      </c>
      <c r="M34" s="2">
        <v>35.6</v>
      </c>
      <c r="N34" s="7">
        <v>11.8</v>
      </c>
      <c r="O34" s="5">
        <v>0.3</v>
      </c>
      <c r="P34" s="2">
        <v>19.399999999999999</v>
      </c>
      <c r="Q34" s="2">
        <v>18</v>
      </c>
      <c r="R34" s="7">
        <v>76</v>
      </c>
      <c r="S34" s="2">
        <v>0.45</v>
      </c>
      <c r="T34" s="2">
        <v>14.6</v>
      </c>
      <c r="U34" s="2">
        <v>4</v>
      </c>
    </row>
    <row r="35" spans="1:21" x14ac:dyDescent="0.2">
      <c r="A35" t="s">
        <v>53</v>
      </c>
      <c r="B35" t="s">
        <v>37</v>
      </c>
      <c r="C35" s="2">
        <v>24</v>
      </c>
      <c r="D35" s="9">
        <v>1082</v>
      </c>
      <c r="E35" s="7">
        <v>3.16</v>
      </c>
      <c r="F35" s="2">
        <v>0.38</v>
      </c>
      <c r="G35" s="2">
        <v>0.38</v>
      </c>
      <c r="H35" s="2">
        <v>6.25</v>
      </c>
      <c r="I35" s="13">
        <f t="shared" si="1"/>
        <v>0.50560000000000005</v>
      </c>
      <c r="J35" s="2">
        <v>46</v>
      </c>
      <c r="K35" s="2">
        <v>1.92</v>
      </c>
      <c r="L35" s="2">
        <v>2.33</v>
      </c>
      <c r="M35" s="2">
        <v>31.6</v>
      </c>
      <c r="N35" s="7">
        <v>12.7</v>
      </c>
      <c r="O35" s="5">
        <v>0.5</v>
      </c>
      <c r="P35" s="2">
        <v>22.9</v>
      </c>
      <c r="Q35" s="2">
        <v>9</v>
      </c>
      <c r="R35" s="7">
        <v>77</v>
      </c>
      <c r="S35" s="2">
        <v>1.83</v>
      </c>
      <c r="T35" s="2">
        <v>41.4</v>
      </c>
      <c r="U35" s="2">
        <v>11</v>
      </c>
    </row>
    <row r="36" spans="1:21" x14ac:dyDescent="0.2">
      <c r="A36" t="s">
        <v>54</v>
      </c>
      <c r="B36" t="s">
        <v>24</v>
      </c>
      <c r="C36" s="2">
        <v>24</v>
      </c>
      <c r="D36" s="9">
        <v>2047</v>
      </c>
      <c r="E36" s="7">
        <v>4.7</v>
      </c>
      <c r="F36" s="2">
        <v>0.72</v>
      </c>
      <c r="G36" s="2">
        <v>0.68</v>
      </c>
      <c r="H36" s="2">
        <v>8.4600000000000009</v>
      </c>
      <c r="I36" s="13">
        <f t="shared" si="1"/>
        <v>0.55555555555555547</v>
      </c>
      <c r="J36" s="2">
        <v>38.200000000000003</v>
      </c>
      <c r="K36" s="2">
        <v>1.5</v>
      </c>
      <c r="L36" s="2">
        <v>0.66</v>
      </c>
      <c r="M36" s="2">
        <v>43</v>
      </c>
      <c r="N36" s="7">
        <v>15</v>
      </c>
      <c r="O36" s="6">
        <v>-5.3</v>
      </c>
      <c r="P36" s="2">
        <v>25.3</v>
      </c>
      <c r="Q36" s="2">
        <v>33</v>
      </c>
      <c r="R36" s="7">
        <v>206</v>
      </c>
      <c r="S36" s="2">
        <v>2.56</v>
      </c>
      <c r="T36" s="2">
        <v>56.3</v>
      </c>
      <c r="U36" s="2">
        <v>36</v>
      </c>
    </row>
    <row r="37" spans="1:21" x14ac:dyDescent="0.2">
      <c r="A37" t="s">
        <v>55</v>
      </c>
      <c r="B37" t="s">
        <v>14</v>
      </c>
      <c r="C37" s="2">
        <v>25</v>
      </c>
      <c r="D37" s="9">
        <v>2271</v>
      </c>
      <c r="E37" s="7">
        <v>2.38</v>
      </c>
      <c r="F37" s="2">
        <v>0.28999999999999998</v>
      </c>
      <c r="G37" s="2">
        <v>0.23</v>
      </c>
      <c r="H37" s="2">
        <v>5.16</v>
      </c>
      <c r="I37" s="13">
        <f t="shared" si="1"/>
        <v>0.46124031007751937</v>
      </c>
      <c r="J37" s="2">
        <v>36.6</v>
      </c>
      <c r="K37" s="2">
        <v>0.6</v>
      </c>
      <c r="L37" s="2">
        <v>0.83</v>
      </c>
      <c r="M37" s="2">
        <v>31.7</v>
      </c>
      <c r="N37" s="7">
        <v>16.8</v>
      </c>
      <c r="O37" s="6">
        <v>-0.4</v>
      </c>
      <c r="P37" s="2">
        <v>31.7</v>
      </c>
      <c r="Q37" s="2">
        <v>23</v>
      </c>
      <c r="R37" s="7">
        <v>185</v>
      </c>
      <c r="S37" s="2">
        <v>3.77</v>
      </c>
      <c r="T37" s="2">
        <v>95</v>
      </c>
      <c r="U37" s="2">
        <v>64</v>
      </c>
    </row>
    <row r="38" spans="1:21" x14ac:dyDescent="0.2">
      <c r="A38" t="s">
        <v>56</v>
      </c>
      <c r="B38" t="s">
        <v>31</v>
      </c>
      <c r="C38" s="2">
        <v>26</v>
      </c>
      <c r="D38" s="9">
        <v>1491</v>
      </c>
      <c r="E38" s="7">
        <v>3.74</v>
      </c>
      <c r="F38" s="2">
        <v>0.57999999999999996</v>
      </c>
      <c r="G38" s="2">
        <v>0.57999999999999996</v>
      </c>
      <c r="H38" s="2">
        <v>7.29</v>
      </c>
      <c r="I38" s="13">
        <f t="shared" si="1"/>
        <v>0.51303155006858714</v>
      </c>
      <c r="J38" s="2">
        <v>30.5</v>
      </c>
      <c r="K38" s="2">
        <v>1.51</v>
      </c>
      <c r="L38" s="2">
        <v>1.81</v>
      </c>
      <c r="M38" s="2">
        <v>40.299999999999997</v>
      </c>
      <c r="N38" s="7">
        <v>12.9</v>
      </c>
      <c r="O38" s="5">
        <v>1.4</v>
      </c>
      <c r="P38" s="2">
        <v>27.7</v>
      </c>
      <c r="Q38" s="2">
        <v>15</v>
      </c>
      <c r="R38" s="7">
        <v>106</v>
      </c>
      <c r="S38" s="2">
        <v>1.57</v>
      </c>
      <c r="T38" s="2">
        <v>42.9</v>
      </c>
      <c r="U38" s="2">
        <v>17</v>
      </c>
    </row>
    <row r="39" spans="1:21" x14ac:dyDescent="0.2">
      <c r="A39" t="s">
        <v>57</v>
      </c>
      <c r="B39" t="s">
        <v>37</v>
      </c>
      <c r="C39" s="2">
        <v>21</v>
      </c>
      <c r="D39" s="9">
        <v>2919</v>
      </c>
      <c r="E39" s="7">
        <v>3.14</v>
      </c>
      <c r="F39" s="2">
        <v>0.48</v>
      </c>
      <c r="G39" s="2">
        <v>0.33</v>
      </c>
      <c r="H39" s="2">
        <v>8.36</v>
      </c>
      <c r="I39" s="13">
        <f t="shared" si="1"/>
        <v>0.37559808612440193</v>
      </c>
      <c r="J39" s="2">
        <v>39</v>
      </c>
      <c r="K39" s="2">
        <v>0.71</v>
      </c>
      <c r="L39" s="2">
        <v>2.13</v>
      </c>
      <c r="M39" s="2">
        <v>30.4</v>
      </c>
      <c r="N39" s="7">
        <v>16.3</v>
      </c>
      <c r="O39" s="5">
        <v>0.5</v>
      </c>
      <c r="P39" s="2">
        <v>43</v>
      </c>
      <c r="Q39" s="2">
        <v>91</v>
      </c>
      <c r="R39" s="7">
        <v>508</v>
      </c>
      <c r="S39" s="2">
        <v>4.78</v>
      </c>
      <c r="T39" s="2">
        <v>115.1</v>
      </c>
      <c r="U39" s="2">
        <v>72</v>
      </c>
    </row>
    <row r="40" spans="1:21" x14ac:dyDescent="0.2">
      <c r="A40" t="s">
        <v>58</v>
      </c>
      <c r="B40" t="s">
        <v>24</v>
      </c>
      <c r="C40" s="2">
        <v>31</v>
      </c>
      <c r="D40" s="9">
        <v>2534</v>
      </c>
      <c r="E40" s="7">
        <v>3.8</v>
      </c>
      <c r="F40" s="2">
        <v>0.75</v>
      </c>
      <c r="G40" s="2">
        <v>0.55000000000000004</v>
      </c>
      <c r="H40" s="2">
        <v>8.5500000000000007</v>
      </c>
      <c r="I40" s="13">
        <f t="shared" si="1"/>
        <v>0.44444444444444436</v>
      </c>
      <c r="J40" s="2">
        <v>30</v>
      </c>
      <c r="K40" s="2">
        <v>0.21</v>
      </c>
      <c r="L40" s="2">
        <v>0.92</v>
      </c>
      <c r="M40" s="2">
        <v>43.9</v>
      </c>
      <c r="N40" s="7">
        <v>15.5</v>
      </c>
      <c r="O40" s="6">
        <v>-3.2</v>
      </c>
      <c r="P40" s="2">
        <v>39.6</v>
      </c>
      <c r="Q40" s="2">
        <v>66</v>
      </c>
      <c r="R40" s="7">
        <v>341</v>
      </c>
      <c r="S40" s="2">
        <v>3.48</v>
      </c>
      <c r="T40" s="2">
        <v>92.7</v>
      </c>
      <c r="U40" s="2">
        <v>66</v>
      </c>
    </row>
    <row r="41" spans="1:21" x14ac:dyDescent="0.2">
      <c r="A41" t="s">
        <v>59</v>
      </c>
      <c r="B41" t="s">
        <v>60</v>
      </c>
      <c r="C41" s="2">
        <v>23</v>
      </c>
      <c r="D41" s="9">
        <v>2105</v>
      </c>
      <c r="E41" s="7">
        <v>2.99</v>
      </c>
      <c r="F41" s="2">
        <v>0.2</v>
      </c>
      <c r="G41" s="2">
        <v>0.2</v>
      </c>
      <c r="H41" s="2">
        <v>5.3</v>
      </c>
      <c r="I41" s="13">
        <f t="shared" si="1"/>
        <v>0.56415094339622651</v>
      </c>
      <c r="J41" s="2">
        <v>39.1</v>
      </c>
      <c r="K41" s="2">
        <v>2.2200000000000002</v>
      </c>
      <c r="L41" s="2">
        <v>1.03</v>
      </c>
      <c r="M41" s="2">
        <v>42.9</v>
      </c>
      <c r="N41" s="7">
        <v>17.8</v>
      </c>
      <c r="O41" s="5">
        <v>3.4</v>
      </c>
      <c r="P41" s="2">
        <v>29.5</v>
      </c>
      <c r="Q41" s="2">
        <v>29</v>
      </c>
      <c r="R41" s="7">
        <v>188</v>
      </c>
      <c r="S41" s="2">
        <v>3.8</v>
      </c>
      <c r="T41" s="2">
        <v>105.9</v>
      </c>
      <c r="U41" s="2">
        <v>42</v>
      </c>
    </row>
    <row r="42" spans="1:21" x14ac:dyDescent="0.2">
      <c r="A42" t="s">
        <v>61</v>
      </c>
      <c r="B42" t="s">
        <v>60</v>
      </c>
      <c r="C42" s="2">
        <v>25</v>
      </c>
      <c r="D42" s="9">
        <v>3325</v>
      </c>
      <c r="E42" s="7">
        <v>2.87</v>
      </c>
      <c r="F42" s="2">
        <v>0.53</v>
      </c>
      <c r="G42" s="2">
        <v>0.47</v>
      </c>
      <c r="H42" s="2">
        <v>5.85</v>
      </c>
      <c r="I42" s="13">
        <f t="shared" si="1"/>
        <v>0.49059829059829063</v>
      </c>
      <c r="J42" s="2">
        <v>41.8</v>
      </c>
      <c r="K42" s="2">
        <v>2.63</v>
      </c>
      <c r="L42" s="2">
        <v>1.22</v>
      </c>
      <c r="M42" s="2">
        <v>33</v>
      </c>
      <c r="N42" s="7">
        <v>12.2</v>
      </c>
      <c r="O42" s="6">
        <v>-0.6</v>
      </c>
      <c r="P42" s="2">
        <v>19.600000000000001</v>
      </c>
      <c r="Q42" s="2">
        <v>39</v>
      </c>
      <c r="R42" s="7">
        <v>184</v>
      </c>
      <c r="S42" s="2">
        <v>1.41</v>
      </c>
      <c r="T42" s="2">
        <v>38.5</v>
      </c>
      <c r="U42" s="2">
        <v>27</v>
      </c>
    </row>
    <row r="43" spans="1:21" x14ac:dyDescent="0.2">
      <c r="A43" t="s">
        <v>62</v>
      </c>
      <c r="B43" t="s">
        <v>60</v>
      </c>
      <c r="C43" s="2">
        <v>24</v>
      </c>
      <c r="D43" s="9">
        <v>2118</v>
      </c>
      <c r="E43" s="7">
        <v>2.25</v>
      </c>
      <c r="F43" s="2">
        <v>0.17</v>
      </c>
      <c r="G43" s="2">
        <v>0.17</v>
      </c>
      <c r="H43" s="2">
        <v>4</v>
      </c>
      <c r="I43" s="13">
        <f t="shared" si="1"/>
        <v>0.5625</v>
      </c>
      <c r="J43" s="2">
        <v>29.5</v>
      </c>
      <c r="K43" s="2">
        <v>0.55000000000000004</v>
      </c>
      <c r="L43" s="2">
        <v>0.94</v>
      </c>
      <c r="M43" s="2">
        <v>30.2</v>
      </c>
      <c r="N43" s="7">
        <v>20</v>
      </c>
      <c r="O43" s="6">
        <v>-0.9</v>
      </c>
      <c r="P43" s="2">
        <v>32.6</v>
      </c>
      <c r="Q43" s="2">
        <v>44</v>
      </c>
      <c r="R43" s="7">
        <v>171</v>
      </c>
      <c r="S43" s="2">
        <v>3.36</v>
      </c>
      <c r="T43" s="2">
        <v>102.6</v>
      </c>
      <c r="U43" s="2">
        <v>25</v>
      </c>
    </row>
    <row r="44" spans="1:21" x14ac:dyDescent="0.2">
      <c r="A44" t="s">
        <v>63</v>
      </c>
      <c r="B44" t="s">
        <v>46</v>
      </c>
      <c r="C44" s="2">
        <v>27</v>
      </c>
      <c r="D44" s="9">
        <v>1450</v>
      </c>
      <c r="E44" s="7">
        <v>3.17</v>
      </c>
      <c r="F44" s="2">
        <v>0.37</v>
      </c>
      <c r="G44" s="2">
        <v>0.37</v>
      </c>
      <c r="H44" s="2">
        <v>4.16</v>
      </c>
      <c r="I44" s="13">
        <f t="shared" si="1"/>
        <v>0.76201923076923073</v>
      </c>
      <c r="J44" s="2">
        <v>47</v>
      </c>
      <c r="K44" s="2">
        <v>3.35</v>
      </c>
      <c r="L44" s="2">
        <v>1.8</v>
      </c>
      <c r="M44" s="2">
        <v>41.2</v>
      </c>
      <c r="N44" s="7">
        <v>17.399999999999999</v>
      </c>
      <c r="O44" s="6">
        <v>-2</v>
      </c>
      <c r="P44" s="2">
        <v>28.9</v>
      </c>
      <c r="Q44" s="2">
        <v>12</v>
      </c>
      <c r="R44" s="7">
        <v>98</v>
      </c>
      <c r="S44" s="2">
        <v>1.43</v>
      </c>
      <c r="T44" s="2">
        <v>50.2</v>
      </c>
      <c r="U44" s="2">
        <v>13</v>
      </c>
    </row>
    <row r="45" spans="1:21" x14ac:dyDescent="0.2">
      <c r="A45" t="s">
        <v>64</v>
      </c>
      <c r="B45" t="s">
        <v>65</v>
      </c>
      <c r="C45" s="2">
        <v>27</v>
      </c>
      <c r="D45" s="9">
        <v>3217</v>
      </c>
      <c r="E45" s="7">
        <v>2.99</v>
      </c>
      <c r="F45" s="2">
        <v>0.47</v>
      </c>
      <c r="G45" s="2">
        <v>0.47</v>
      </c>
      <c r="H45" s="2">
        <v>6.02</v>
      </c>
      <c r="I45" s="13">
        <f t="shared" si="1"/>
        <v>0.49667774086378746</v>
      </c>
      <c r="J45" s="2">
        <v>38</v>
      </c>
      <c r="K45" s="2">
        <v>1.37</v>
      </c>
      <c r="L45" s="2">
        <v>1.1499999999999999</v>
      </c>
      <c r="M45" s="2">
        <v>43.9</v>
      </c>
      <c r="N45" s="7">
        <v>12.8</v>
      </c>
      <c r="O45" s="5">
        <v>2.2000000000000002</v>
      </c>
      <c r="P45" s="2">
        <v>21.3</v>
      </c>
      <c r="Q45" s="2">
        <v>45</v>
      </c>
      <c r="R45" s="7">
        <v>214</v>
      </c>
      <c r="S45" s="2">
        <v>1.74</v>
      </c>
      <c r="T45" s="2">
        <v>41</v>
      </c>
      <c r="U45" s="2">
        <v>41</v>
      </c>
    </row>
    <row r="46" spans="1:21" x14ac:dyDescent="0.2">
      <c r="A46" t="s">
        <v>66</v>
      </c>
      <c r="B46" t="s">
        <v>22</v>
      </c>
      <c r="C46" s="2">
        <v>34</v>
      </c>
      <c r="D46" s="9">
        <v>2053</v>
      </c>
      <c r="E46" s="7">
        <v>1.89</v>
      </c>
      <c r="F46" s="2">
        <v>0.22</v>
      </c>
      <c r="G46" s="2">
        <v>0.16</v>
      </c>
      <c r="H46" s="2">
        <v>3.2</v>
      </c>
      <c r="I46" s="13">
        <f t="shared" si="1"/>
        <v>0.59062499999999996</v>
      </c>
      <c r="J46" s="2">
        <v>37.5</v>
      </c>
      <c r="K46" s="2">
        <v>0.39</v>
      </c>
      <c r="L46" s="2">
        <v>1.32</v>
      </c>
      <c r="M46" s="2">
        <v>37.200000000000003</v>
      </c>
      <c r="N46" s="7">
        <v>20.399999999999999</v>
      </c>
      <c r="O46" s="6">
        <v>-1.1000000000000001</v>
      </c>
      <c r="P46" s="2">
        <v>45.6</v>
      </c>
      <c r="Q46" s="2">
        <v>44</v>
      </c>
      <c r="R46" s="7">
        <v>181</v>
      </c>
      <c r="S46" s="2">
        <v>4.04</v>
      </c>
      <c r="T46" s="2">
        <v>129.1</v>
      </c>
      <c r="U46" s="2">
        <v>28</v>
      </c>
    </row>
    <row r="47" spans="1:21" x14ac:dyDescent="0.2">
      <c r="A47" t="s">
        <v>67</v>
      </c>
      <c r="B47" t="s">
        <v>8</v>
      </c>
      <c r="C47" s="2">
        <v>31</v>
      </c>
      <c r="D47" s="9">
        <v>991</v>
      </c>
      <c r="E47" s="7">
        <v>3</v>
      </c>
      <c r="F47" s="2">
        <v>0.8</v>
      </c>
      <c r="G47" s="2">
        <v>0.65</v>
      </c>
      <c r="H47" s="2">
        <v>7</v>
      </c>
      <c r="I47" s="13">
        <f t="shared" si="1"/>
        <v>0.42857142857142855</v>
      </c>
      <c r="J47" s="2">
        <v>36</v>
      </c>
      <c r="K47" s="2">
        <v>0.82</v>
      </c>
      <c r="L47" s="2">
        <v>1.55</v>
      </c>
      <c r="M47" s="2">
        <v>54.5</v>
      </c>
      <c r="N47" s="7">
        <v>11.8</v>
      </c>
      <c r="O47" s="5">
        <v>0.2</v>
      </c>
      <c r="P47" s="2">
        <v>23.1</v>
      </c>
      <c r="Q47" s="2">
        <v>8</v>
      </c>
      <c r="R47" s="7">
        <v>77</v>
      </c>
      <c r="S47" s="2">
        <v>1</v>
      </c>
      <c r="T47" s="2">
        <v>29.3</v>
      </c>
      <c r="U47" s="2">
        <v>13</v>
      </c>
    </row>
    <row r="48" spans="1:21" x14ac:dyDescent="0.2">
      <c r="A48" t="s">
        <v>68</v>
      </c>
      <c r="B48" t="s">
        <v>22</v>
      </c>
      <c r="C48" s="2">
        <v>26</v>
      </c>
      <c r="D48" s="9">
        <v>1620</v>
      </c>
      <c r="E48" s="7">
        <v>2.2200000000000002</v>
      </c>
      <c r="F48" s="2">
        <v>0.19</v>
      </c>
      <c r="G48" s="2">
        <v>0.19</v>
      </c>
      <c r="H48" s="2">
        <v>2.94</v>
      </c>
      <c r="I48" s="13">
        <f t="shared" si="1"/>
        <v>0.75510204081632659</v>
      </c>
      <c r="J48" s="2">
        <v>45.5</v>
      </c>
      <c r="K48" s="2">
        <v>0.28000000000000003</v>
      </c>
      <c r="L48" s="2">
        <v>2.2200000000000002</v>
      </c>
      <c r="M48" s="2">
        <v>32.5</v>
      </c>
      <c r="N48" s="7">
        <v>19.100000000000001</v>
      </c>
      <c r="O48" s="5">
        <v>0.6</v>
      </c>
      <c r="P48" s="2">
        <v>33.700000000000003</v>
      </c>
      <c r="Q48" s="2">
        <v>22</v>
      </c>
      <c r="R48" s="7">
        <v>130</v>
      </c>
      <c r="S48" s="2">
        <v>2.2799999999999998</v>
      </c>
      <c r="T48" s="2">
        <v>84.1</v>
      </c>
      <c r="U48" s="2">
        <v>17</v>
      </c>
    </row>
    <row r="49" spans="1:21" x14ac:dyDescent="0.2">
      <c r="A49" t="s">
        <v>69</v>
      </c>
      <c r="B49" t="s">
        <v>46</v>
      </c>
      <c r="C49" s="2">
        <v>26</v>
      </c>
      <c r="D49" s="9">
        <v>2493</v>
      </c>
      <c r="E49" s="7">
        <v>2.42</v>
      </c>
      <c r="F49" s="2">
        <v>0.38</v>
      </c>
      <c r="G49" s="2">
        <v>0.38</v>
      </c>
      <c r="H49" s="2">
        <v>4.4000000000000004</v>
      </c>
      <c r="I49" s="13">
        <f t="shared" si="1"/>
        <v>0.54999999999999993</v>
      </c>
      <c r="J49" s="2">
        <v>44.7</v>
      </c>
      <c r="K49" s="2">
        <v>1.37</v>
      </c>
      <c r="L49" s="2">
        <v>1.84</v>
      </c>
      <c r="M49" s="2">
        <v>35.799999999999997</v>
      </c>
      <c r="N49" s="7">
        <v>12.9</v>
      </c>
      <c r="O49" s="5">
        <v>1.4</v>
      </c>
      <c r="P49" s="2">
        <v>17.5</v>
      </c>
      <c r="Q49" s="2">
        <v>30</v>
      </c>
      <c r="R49" s="7">
        <v>150</v>
      </c>
      <c r="S49" s="2">
        <v>1.62</v>
      </c>
      <c r="T49" s="2">
        <v>50.1</v>
      </c>
      <c r="U49" s="2">
        <v>20</v>
      </c>
    </row>
    <row r="50" spans="1:21" x14ac:dyDescent="0.2">
      <c r="A50" t="s">
        <v>70</v>
      </c>
      <c r="B50" t="s">
        <v>16</v>
      </c>
      <c r="C50" s="2">
        <v>31</v>
      </c>
      <c r="D50" s="9">
        <v>1812</v>
      </c>
      <c r="E50" s="7">
        <v>2.38</v>
      </c>
      <c r="F50" s="2">
        <v>0.59</v>
      </c>
      <c r="G50" s="2">
        <v>0.59</v>
      </c>
      <c r="H50" s="2">
        <v>4.58</v>
      </c>
      <c r="I50" s="13">
        <f t="shared" si="1"/>
        <v>0.51965065502183405</v>
      </c>
      <c r="J50" s="2">
        <v>42.6</v>
      </c>
      <c r="K50" s="2">
        <v>3.58</v>
      </c>
      <c r="L50" s="2">
        <v>0.65</v>
      </c>
      <c r="M50" s="2">
        <v>54.2</v>
      </c>
      <c r="N50" s="7">
        <v>10.199999999999999</v>
      </c>
      <c r="O50" s="5">
        <v>2.1</v>
      </c>
      <c r="P50" s="2">
        <v>23.3</v>
      </c>
      <c r="Q50" s="2">
        <v>22</v>
      </c>
      <c r="R50" s="7">
        <v>76</v>
      </c>
      <c r="S50" s="2">
        <v>0.8</v>
      </c>
      <c r="T50" s="2">
        <v>23.7</v>
      </c>
      <c r="U50" s="2">
        <v>7</v>
      </c>
    </row>
    <row r="108" spans="1:25" x14ac:dyDescent="0.2">
      <c r="A108" s="3"/>
    </row>
    <row r="109" spans="1:25" x14ac:dyDescent="0.2">
      <c r="A109" s="3"/>
    </row>
    <row r="110" spans="1:25" x14ac:dyDescent="0.2">
      <c r="A110" s="3"/>
    </row>
    <row r="111" spans="1:25" x14ac:dyDescent="0.2">
      <c r="A111" s="3"/>
      <c r="B111" s="3"/>
      <c r="C111" s="2"/>
      <c r="D111" s="11"/>
      <c r="E111" s="2"/>
      <c r="F111" s="2"/>
      <c r="G111" s="2"/>
      <c r="H111" s="2"/>
      <c r="I111" s="14"/>
      <c r="J111" s="2"/>
      <c r="K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3"/>
    </row>
    <row r="112" spans="1:25" x14ac:dyDescent="0.2">
      <c r="A112" s="3"/>
      <c r="B112" s="3"/>
      <c r="C112" s="2"/>
      <c r="D112" s="11"/>
      <c r="E112" s="2"/>
      <c r="F112" s="2"/>
      <c r="G112" s="2"/>
      <c r="H112" s="2"/>
      <c r="I112" s="14"/>
      <c r="J112" s="2"/>
      <c r="K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3"/>
    </row>
    <row r="113" spans="1:25" x14ac:dyDescent="0.2">
      <c r="A113" s="3"/>
      <c r="B113" s="3"/>
      <c r="C113" s="2"/>
      <c r="D113" s="11"/>
      <c r="E113" s="2"/>
      <c r="F113" s="2"/>
      <c r="G113" s="2"/>
      <c r="H113" s="2"/>
      <c r="I113" s="14"/>
      <c r="J113" s="2"/>
      <c r="K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3"/>
    </row>
    <row r="114" spans="1:25" x14ac:dyDescent="0.2">
      <c r="A114" s="3"/>
      <c r="B114" s="3"/>
      <c r="C114" s="2"/>
      <c r="D114" s="11"/>
      <c r="E114" s="2"/>
      <c r="F114" s="2"/>
      <c r="G114" s="2"/>
      <c r="H114" s="2"/>
      <c r="I114" s="14"/>
      <c r="J114" s="2"/>
      <c r="K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3"/>
    </row>
    <row r="115" spans="1:25" x14ac:dyDescent="0.2">
      <c r="A115" s="3"/>
      <c r="B115" s="3"/>
      <c r="C115" s="2"/>
      <c r="D115" s="11"/>
      <c r="E115" s="2"/>
      <c r="F115" s="2"/>
      <c r="G115" s="2"/>
      <c r="H115" s="2"/>
      <c r="I115" s="14"/>
      <c r="J115" s="2"/>
      <c r="K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3"/>
    </row>
    <row r="116" spans="1:25" x14ac:dyDescent="0.2">
      <c r="A116" s="3"/>
      <c r="B116" s="3"/>
      <c r="C116" s="2"/>
      <c r="D116" s="11"/>
      <c r="E116" s="2"/>
      <c r="F116" s="2"/>
      <c r="G116" s="2"/>
      <c r="H116" s="2"/>
      <c r="I116" s="14"/>
      <c r="J116" s="2"/>
      <c r="K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3"/>
    </row>
    <row r="117" spans="1:25" x14ac:dyDescent="0.2">
      <c r="A117" s="3"/>
      <c r="B117" s="3"/>
      <c r="C117" s="2"/>
      <c r="D117" s="11"/>
      <c r="E117" s="2"/>
      <c r="F117" s="2"/>
      <c r="G117" s="2"/>
      <c r="H117" s="2"/>
      <c r="I117" s="14"/>
      <c r="J117" s="2"/>
      <c r="K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3"/>
    </row>
    <row r="118" spans="1:25" x14ac:dyDescent="0.2">
      <c r="A118" s="3"/>
      <c r="B118" s="3"/>
      <c r="C118" s="2"/>
      <c r="D118" s="11"/>
      <c r="E118" s="2"/>
      <c r="F118" s="2"/>
      <c r="G118" s="2"/>
      <c r="H118" s="2"/>
      <c r="I118" s="14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3"/>
    </row>
    <row r="119" spans="1:25" x14ac:dyDescent="0.2">
      <c r="A119" s="3"/>
      <c r="B119" s="3"/>
      <c r="C119" s="2"/>
      <c r="D119" s="11"/>
      <c r="E119" s="2"/>
      <c r="F119" s="2"/>
      <c r="G119" s="2"/>
      <c r="H119" s="2"/>
      <c r="I119" s="14"/>
      <c r="J119" s="2"/>
      <c r="K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3"/>
    </row>
    <row r="120" spans="1:25" x14ac:dyDescent="0.2">
      <c r="A120" s="3"/>
      <c r="B120" s="3"/>
      <c r="C120" s="2"/>
      <c r="D120" s="11"/>
      <c r="E120" s="2"/>
      <c r="F120" s="2"/>
      <c r="G120" s="2"/>
      <c r="H120" s="2"/>
      <c r="I120" s="14"/>
      <c r="J120" s="2"/>
      <c r="K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3"/>
    </row>
    <row r="121" spans="1:25" x14ac:dyDescent="0.2">
      <c r="A121" s="3"/>
      <c r="B121" s="3"/>
      <c r="C121" s="2"/>
      <c r="D121" s="11"/>
      <c r="E121" s="2"/>
      <c r="F121" s="2"/>
      <c r="G121" s="2"/>
      <c r="H121" s="2"/>
      <c r="I121" s="14"/>
      <c r="J121" s="2"/>
      <c r="K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3"/>
    </row>
    <row r="122" spans="1:25" x14ac:dyDescent="0.2">
      <c r="A122" s="3"/>
      <c r="B122" s="3"/>
      <c r="C122" s="2"/>
      <c r="D122" s="11"/>
      <c r="E122" s="2"/>
      <c r="F122" s="2"/>
      <c r="G122" s="2"/>
      <c r="H122" s="2"/>
      <c r="I122" s="14"/>
      <c r="J122" s="2"/>
      <c r="K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3"/>
    </row>
    <row r="123" spans="1:25" x14ac:dyDescent="0.2">
      <c r="A123" s="3"/>
      <c r="B123" s="3"/>
      <c r="C123" s="2"/>
      <c r="D123" s="11"/>
      <c r="E123" s="2"/>
      <c r="F123" s="2"/>
      <c r="G123" s="2"/>
      <c r="H123" s="2"/>
      <c r="I123" s="14"/>
      <c r="J123" s="2"/>
      <c r="K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3"/>
    </row>
    <row r="124" spans="1:25" x14ac:dyDescent="0.2">
      <c r="A124" s="3"/>
      <c r="B124" s="3"/>
      <c r="C124" s="2"/>
      <c r="D124" s="11"/>
      <c r="E124" s="2"/>
      <c r="F124" s="2"/>
      <c r="G124" s="2"/>
      <c r="H124" s="2"/>
      <c r="I124" s="14"/>
      <c r="J124" s="2"/>
      <c r="K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3"/>
    </row>
    <row r="125" spans="1:25" x14ac:dyDescent="0.2">
      <c r="A125" s="3"/>
      <c r="B125" s="3"/>
      <c r="C125" s="2"/>
      <c r="D125" s="11"/>
      <c r="E125" s="2"/>
      <c r="F125" s="2"/>
      <c r="G125" s="2"/>
      <c r="H125" s="2"/>
      <c r="I125" s="14"/>
      <c r="J125" s="2"/>
      <c r="K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3"/>
    </row>
    <row r="126" spans="1:25" x14ac:dyDescent="0.2">
      <c r="A126" s="3"/>
      <c r="B126" s="3"/>
      <c r="C126" s="2"/>
      <c r="D126" s="11"/>
      <c r="E126" s="2"/>
      <c r="F126" s="2"/>
      <c r="G126" s="2"/>
      <c r="H126" s="2"/>
      <c r="I126" s="14"/>
      <c r="J126" s="2"/>
      <c r="K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3"/>
    </row>
    <row r="127" spans="1:25" x14ac:dyDescent="0.2">
      <c r="A127" s="3"/>
      <c r="B127" s="3"/>
      <c r="C127" s="2"/>
      <c r="D127" s="11"/>
      <c r="E127" s="2"/>
      <c r="F127" s="2"/>
      <c r="G127" s="2"/>
      <c r="H127" s="2"/>
      <c r="I127" s="14"/>
      <c r="J127" s="2"/>
      <c r="K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3"/>
    </row>
    <row r="128" spans="1:25" x14ac:dyDescent="0.2">
      <c r="A128" s="3"/>
      <c r="B128" s="3"/>
      <c r="C128" s="2"/>
      <c r="D128" s="11"/>
      <c r="E128" s="2"/>
      <c r="F128" s="2"/>
      <c r="G128" s="2"/>
      <c r="H128" s="2"/>
      <c r="I128" s="14"/>
      <c r="J128" s="2"/>
      <c r="K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3"/>
    </row>
    <row r="129" spans="1:25" x14ac:dyDescent="0.2">
      <c r="A129" s="3"/>
      <c r="B129" s="3"/>
      <c r="C129" s="2"/>
      <c r="D129" s="11"/>
      <c r="E129" s="2"/>
      <c r="F129" s="2"/>
      <c r="G129" s="2"/>
      <c r="H129" s="2"/>
      <c r="I129" s="14"/>
      <c r="J129" s="2"/>
      <c r="K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3"/>
    </row>
    <row r="130" spans="1:25" x14ac:dyDescent="0.2">
      <c r="A130" s="3"/>
      <c r="B130" s="3"/>
      <c r="C130" s="2"/>
      <c r="D130" s="11"/>
      <c r="E130" s="2"/>
      <c r="F130" s="2"/>
      <c r="G130" s="2"/>
      <c r="H130" s="2"/>
      <c r="I130" s="14"/>
      <c r="J130" s="2"/>
      <c r="K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3"/>
    </row>
    <row r="131" spans="1:25" x14ac:dyDescent="0.2">
      <c r="A131" s="3"/>
      <c r="B131" s="3"/>
      <c r="C131" s="2"/>
      <c r="D131" s="11"/>
      <c r="E131" s="2"/>
      <c r="F131" s="2"/>
      <c r="G131" s="2"/>
      <c r="H131" s="2"/>
      <c r="I131" s="14"/>
      <c r="J131" s="2"/>
      <c r="K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3"/>
    </row>
    <row r="132" spans="1:25" x14ac:dyDescent="0.2">
      <c r="A132" s="3"/>
      <c r="B132" s="3"/>
      <c r="C132" s="2"/>
      <c r="D132" s="11"/>
      <c r="E132" s="2"/>
      <c r="F132" s="2"/>
      <c r="G132" s="2"/>
      <c r="H132" s="2"/>
      <c r="I132" s="14"/>
      <c r="J132" s="2"/>
      <c r="K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3"/>
    </row>
    <row r="133" spans="1:25" x14ac:dyDescent="0.2">
      <c r="A133" s="3"/>
      <c r="B133" s="3"/>
      <c r="C133" s="2"/>
      <c r="D133" s="11"/>
      <c r="E133" s="2"/>
      <c r="F133" s="2"/>
      <c r="G133" s="2"/>
      <c r="H133" s="2"/>
      <c r="I133" s="14"/>
      <c r="J133" s="2"/>
      <c r="K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3"/>
    </row>
    <row r="134" spans="1:25" x14ac:dyDescent="0.2">
      <c r="A134" s="3"/>
      <c r="B134" s="3"/>
      <c r="C134" s="2"/>
      <c r="D134" s="11"/>
      <c r="E134" s="2"/>
      <c r="F134" s="2"/>
      <c r="G134" s="2"/>
      <c r="H134" s="2"/>
      <c r="I134" s="14"/>
      <c r="J134" s="2"/>
      <c r="K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3"/>
    </row>
    <row r="135" spans="1:25" x14ac:dyDescent="0.2">
      <c r="A135" s="3"/>
      <c r="B135" s="3"/>
      <c r="C135" s="2"/>
      <c r="D135" s="11"/>
      <c r="E135" s="2"/>
      <c r="F135" s="2"/>
      <c r="G135" s="2"/>
      <c r="H135" s="2"/>
      <c r="I135" s="14"/>
      <c r="J135" s="2"/>
      <c r="K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3"/>
    </row>
    <row r="136" spans="1:25" x14ac:dyDescent="0.2">
      <c r="A136" s="3"/>
      <c r="B136" s="3"/>
      <c r="C136" s="2"/>
      <c r="D136" s="11"/>
      <c r="E136" s="2"/>
      <c r="F136" s="2"/>
      <c r="G136" s="2"/>
      <c r="H136" s="2"/>
      <c r="I136" s="14"/>
      <c r="J136" s="2"/>
      <c r="K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3"/>
    </row>
    <row r="137" spans="1:25" x14ac:dyDescent="0.2">
      <c r="A137" s="3"/>
      <c r="B137" s="3"/>
      <c r="C137" s="2"/>
      <c r="D137" s="11"/>
      <c r="E137" s="2"/>
      <c r="F137" s="2"/>
      <c r="G137" s="2"/>
      <c r="H137" s="2"/>
      <c r="I137" s="14"/>
      <c r="J137" s="2"/>
      <c r="K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3"/>
    </row>
    <row r="138" spans="1:25" x14ac:dyDescent="0.2">
      <c r="A138" s="3"/>
      <c r="B138" s="3"/>
      <c r="C138" s="2"/>
      <c r="D138" s="11"/>
      <c r="E138" s="2"/>
      <c r="F138" s="2"/>
      <c r="G138" s="2"/>
      <c r="H138" s="2"/>
      <c r="I138" s="14"/>
      <c r="J138" s="2"/>
      <c r="K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3"/>
    </row>
    <row r="139" spans="1:25" x14ac:dyDescent="0.2">
      <c r="A139" s="3"/>
      <c r="B139" s="3"/>
      <c r="C139" s="2"/>
      <c r="D139" s="11"/>
      <c r="E139" s="2"/>
      <c r="F139" s="2"/>
      <c r="G139" s="2"/>
      <c r="H139" s="2"/>
      <c r="I139" s="14"/>
      <c r="J139" s="2"/>
      <c r="K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3"/>
    </row>
    <row r="140" spans="1:25" x14ac:dyDescent="0.2">
      <c r="A140" s="3"/>
      <c r="B140" s="3"/>
      <c r="C140" s="2"/>
      <c r="D140" s="11"/>
      <c r="E140" s="2"/>
      <c r="F140" s="2"/>
      <c r="G140" s="2"/>
      <c r="H140" s="2"/>
      <c r="I140" s="14"/>
      <c r="J140" s="2"/>
      <c r="K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3"/>
    </row>
    <row r="141" spans="1:25" x14ac:dyDescent="0.2">
      <c r="A141" s="3"/>
      <c r="B141" s="3"/>
      <c r="C141" s="2"/>
      <c r="D141" s="11"/>
      <c r="E141" s="2"/>
      <c r="F141" s="2"/>
      <c r="G141" s="2"/>
      <c r="H141" s="2"/>
      <c r="I141" s="14"/>
      <c r="J141" s="2"/>
      <c r="K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3"/>
    </row>
    <row r="142" spans="1:25" x14ac:dyDescent="0.2">
      <c r="A142" s="3"/>
      <c r="B142" s="3"/>
      <c r="C142" s="2"/>
      <c r="D142" s="11"/>
      <c r="E142" s="2"/>
      <c r="F142" s="2"/>
      <c r="G142" s="2"/>
      <c r="H142" s="2"/>
      <c r="I142" s="14"/>
      <c r="J142" s="2"/>
      <c r="K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3"/>
    </row>
    <row r="143" spans="1:25" x14ac:dyDescent="0.2">
      <c r="A143" s="3"/>
      <c r="B143" s="3"/>
      <c r="C143" s="2"/>
      <c r="D143" s="11"/>
      <c r="E143" s="2"/>
      <c r="F143" s="2"/>
      <c r="G143" s="2"/>
      <c r="H143" s="2"/>
      <c r="I143" s="14"/>
      <c r="J143" s="2"/>
      <c r="K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3"/>
    </row>
    <row r="144" spans="1:25" x14ac:dyDescent="0.2">
      <c r="A144" s="3"/>
      <c r="B144" s="3"/>
      <c r="C144" s="2"/>
      <c r="D144" s="11"/>
      <c r="E144" s="2"/>
      <c r="F144" s="2"/>
      <c r="G144" s="2"/>
      <c r="H144" s="2"/>
      <c r="I144" s="14"/>
      <c r="J144" s="2"/>
      <c r="K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3"/>
    </row>
    <row r="145" spans="1:25" x14ac:dyDescent="0.2">
      <c r="A145" s="3"/>
      <c r="B145" s="3"/>
      <c r="C145" s="2"/>
      <c r="D145" s="11"/>
      <c r="E145" s="2"/>
      <c r="F145" s="2"/>
      <c r="G145" s="2"/>
      <c r="H145" s="2"/>
      <c r="I145" s="14"/>
      <c r="J145" s="2"/>
      <c r="K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3"/>
    </row>
    <row r="146" spans="1:25" x14ac:dyDescent="0.2">
      <c r="A146" s="3"/>
      <c r="B146" s="3"/>
      <c r="C146" s="2"/>
      <c r="D146" s="11"/>
      <c r="E146" s="2"/>
      <c r="F146" s="2"/>
      <c r="G146" s="2"/>
      <c r="H146" s="2"/>
      <c r="I146" s="14"/>
      <c r="J146" s="2"/>
      <c r="K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3"/>
    </row>
    <row r="147" spans="1:25" x14ac:dyDescent="0.2">
      <c r="A147" s="3"/>
      <c r="B147" s="3"/>
      <c r="C147" s="2"/>
      <c r="D147" s="11"/>
      <c r="E147" s="2"/>
      <c r="F147" s="2"/>
      <c r="G147" s="2"/>
      <c r="H147" s="2"/>
      <c r="I147" s="14"/>
      <c r="J147" s="2"/>
      <c r="K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3"/>
    </row>
    <row r="148" spans="1:25" x14ac:dyDescent="0.2">
      <c r="A148" s="3"/>
      <c r="B148" s="3"/>
      <c r="C148" s="2"/>
      <c r="D148" s="11"/>
      <c r="E148" s="2"/>
      <c r="F148" s="2"/>
      <c r="G148" s="2"/>
      <c r="H148" s="2"/>
      <c r="I148" s="14"/>
      <c r="J148" s="2"/>
      <c r="K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3"/>
    </row>
    <row r="149" spans="1:25" x14ac:dyDescent="0.2">
      <c r="A149" s="3"/>
      <c r="B149" s="3"/>
      <c r="C149" s="2"/>
      <c r="D149" s="11"/>
      <c r="E149" s="2"/>
      <c r="F149" s="2"/>
      <c r="G149" s="2"/>
      <c r="H149" s="2"/>
      <c r="I149" s="14"/>
      <c r="J149" s="2"/>
      <c r="K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3"/>
    </row>
    <row r="150" spans="1:25" x14ac:dyDescent="0.2">
      <c r="A150" s="3"/>
      <c r="B150" s="3"/>
      <c r="C150" s="2"/>
      <c r="D150" s="11"/>
      <c r="E150" s="2"/>
      <c r="F150" s="2"/>
      <c r="G150" s="2"/>
      <c r="H150" s="2"/>
      <c r="I150" s="14"/>
      <c r="J150" s="2"/>
      <c r="K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3"/>
    </row>
    <row r="151" spans="1:25" x14ac:dyDescent="0.2">
      <c r="A151" s="3"/>
      <c r="B151" s="3"/>
      <c r="C151" s="2"/>
      <c r="D151" s="11"/>
      <c r="E151" s="2"/>
      <c r="F151" s="2"/>
      <c r="G151" s="2"/>
      <c r="H151" s="2"/>
      <c r="I151" s="14"/>
      <c r="J151" s="2"/>
      <c r="K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3"/>
    </row>
    <row r="152" spans="1:25" x14ac:dyDescent="0.2">
      <c r="A152" s="3"/>
      <c r="B152" s="3"/>
      <c r="C152" s="2"/>
      <c r="D152" s="11"/>
      <c r="E152" s="2"/>
      <c r="F152" s="2"/>
      <c r="G152" s="2"/>
      <c r="H152" s="2"/>
      <c r="I152" s="14"/>
      <c r="J152" s="2"/>
      <c r="K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3"/>
    </row>
    <row r="153" spans="1:25" x14ac:dyDescent="0.2">
      <c r="A153" s="3"/>
      <c r="B153" s="3"/>
      <c r="C153" s="2"/>
      <c r="D153" s="11"/>
      <c r="E153" s="2"/>
      <c r="F153" s="2"/>
      <c r="G153" s="2"/>
      <c r="H153" s="2"/>
      <c r="I153" s="14"/>
      <c r="J153" s="2"/>
      <c r="K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3"/>
    </row>
    <row r="154" spans="1:25" x14ac:dyDescent="0.2">
      <c r="A154" s="3"/>
      <c r="B154" s="3"/>
      <c r="C154" s="2"/>
      <c r="D154" s="11"/>
      <c r="E154" s="2"/>
      <c r="F154" s="2"/>
      <c r="G154" s="2"/>
      <c r="H154" s="2"/>
      <c r="I154" s="14"/>
      <c r="J154" s="2"/>
      <c r="K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3"/>
    </row>
    <row r="155" spans="1:25" x14ac:dyDescent="0.2">
      <c r="A155" s="3"/>
      <c r="B155" s="3"/>
      <c r="C155" s="2"/>
      <c r="D155" s="11"/>
      <c r="E155" s="2"/>
      <c r="F155" s="2"/>
      <c r="G155" s="2"/>
      <c r="H155" s="2"/>
      <c r="I155" s="14"/>
      <c r="J155" s="2"/>
      <c r="K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3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BECC-89CA-A24F-8BFF-1FEECA1B437D}">
  <dimension ref="A1:U50"/>
  <sheetViews>
    <sheetView topLeftCell="K1" zoomScale="165" workbookViewId="0">
      <selection activeCell="H63" sqref="H63"/>
    </sheetView>
  </sheetViews>
  <sheetFormatPr baseColWidth="10" defaultRowHeight="16" x14ac:dyDescent="0.2"/>
  <cols>
    <col min="1" max="1" width="20.83203125" customWidth="1"/>
    <col min="2" max="2" width="14.6640625" customWidth="1"/>
    <col min="3" max="3" width="5.5" customWidth="1"/>
    <col min="4" max="4" width="8.1640625" customWidth="1"/>
    <col min="5" max="5" width="9" customWidth="1"/>
    <col min="6" max="6" width="7.1640625" customWidth="1"/>
    <col min="7" max="7" width="8.83203125" customWidth="1"/>
    <col min="8" max="8" width="14.83203125" customWidth="1"/>
    <col min="9" max="9" width="15.6640625" customWidth="1"/>
    <col min="10" max="10" width="15.1640625" customWidth="1"/>
    <col min="11" max="12" width="14.6640625" customWidth="1"/>
    <col min="13" max="13" width="8.83203125" customWidth="1"/>
    <col min="14" max="14" width="17" customWidth="1"/>
    <col min="15" max="15" width="11.33203125" customWidth="1"/>
    <col min="16" max="16" width="18.33203125" customWidth="1"/>
    <col min="17" max="17" width="14.1640625" customWidth="1"/>
    <col min="18" max="18" width="22.83203125" customWidth="1"/>
    <col min="19" max="19" width="15.33203125" customWidth="1"/>
    <col min="20" max="20" width="17.33203125" customWidth="1"/>
    <col min="21" max="21" width="18.5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8" t="s">
        <v>71</v>
      </c>
      <c r="E1" s="1" t="s">
        <v>72</v>
      </c>
      <c r="F1" s="1" t="s">
        <v>73</v>
      </c>
      <c r="G1" s="1" t="s">
        <v>75</v>
      </c>
      <c r="H1" s="1" t="s">
        <v>74</v>
      </c>
      <c r="I1" s="12" t="s">
        <v>88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 x14ac:dyDescent="0.2">
      <c r="A2" t="str">
        <f>Raw_Data!A2</f>
        <v>Elijah Adebayo</v>
      </c>
      <c r="B2" t="str">
        <f>Raw_Data!B2</f>
        <v>Luton Town</v>
      </c>
      <c r="C2">
        <f>Raw_Data!C2</f>
        <v>25</v>
      </c>
      <c r="D2" s="10">
        <f>Raw_Data!D2</f>
        <v>1419</v>
      </c>
      <c r="E2">
        <f>_xlfn.PERCENTRANK.INC(Raw_Data!$E$2:$E$60, Raw_Data!E2)</f>
        <v>0.125</v>
      </c>
      <c r="F2">
        <f>_xlfn.PERCENTRANK.INC(Raw_Data!$F$2:$F$60, Raw_Data!F2)</f>
        <v>0.437</v>
      </c>
      <c r="G2">
        <f>_xlfn.PERCENTRANK.INC(Raw_Data!$G$2:$G$60, Raw_Data!G2)</f>
        <v>0.5</v>
      </c>
      <c r="H2">
        <f>_xlfn.PERCENTRANK.INC(Raw_Data!$H$2:$H$60, Raw_Data!H2)</f>
        <v>0.47899999999999998</v>
      </c>
      <c r="I2">
        <f>_xlfn.PERCENTRANK.INC(Raw_Data!$I$2:$I$60, Raw_Data!I2)</f>
        <v>0.104</v>
      </c>
      <c r="J2">
        <f>_xlfn.PERCENTRANK.INC(Raw_Data!$J$2:$J$60, Raw_Data!J2)</f>
        <v>0.97899999999999998</v>
      </c>
      <c r="K2">
        <f>_xlfn.PERCENTRANK.INC(Raw_Data!$K$2:$K$60, Raw_Data!K2)</f>
        <v>0.85399999999999998</v>
      </c>
      <c r="L2">
        <f>_xlfn.PERCENTRANK.INC(Raw_Data!$L$2:$L$60, Raw_Data!L2)</f>
        <v>0.16600000000000001</v>
      </c>
      <c r="M2">
        <f>_xlfn.PERCENTRANK.INC(Raw_Data!$M$2:$M$60, Raw_Data!M2)</f>
        <v>0.75</v>
      </c>
      <c r="N2">
        <f>Raw_Data!N2</f>
        <v>9.6</v>
      </c>
      <c r="O2">
        <f>Raw_Data!O2</f>
        <v>4.0999999999999996</v>
      </c>
      <c r="P2">
        <f>_xlfn.PERCENTRANK.INC(Raw_Data!$P$2:$P$60, Raw_Data!P2)</f>
        <v>0.187</v>
      </c>
      <c r="Q2">
        <f>_xlfn.PERCENTRANK.INC(Raw_Data!$Q$2:$Q$60, Raw_Data!Q2)</f>
        <v>0.187</v>
      </c>
      <c r="R2">
        <f>_xlfn.PERCENTRANK.INC(Raw_Data!$R$2:$R$60, Raw_Data!R2)</f>
        <v>0.312</v>
      </c>
      <c r="S2">
        <f>_xlfn.PERCENTRANK.INC(Raw_Data!$S$2:$S$60, Raw_Data!S2)</f>
        <v>0.14499999999999999</v>
      </c>
      <c r="T2">
        <f>_xlfn.PERCENTRANK.INC(Raw_Data!$T$2:$T$60, Raw_Data!T2)</f>
        <v>8.3000000000000004E-2</v>
      </c>
      <c r="U2">
        <f>_xlfn.PERCENTRANK.INC(Raw_Data!$U$2:$U$60, Raw_Data!U2)</f>
        <v>0.187</v>
      </c>
    </row>
    <row r="3" spans="1:21" x14ac:dyDescent="0.2">
      <c r="A3" t="str">
        <f>Raw_Data!A3</f>
        <v>Simon Adingra</v>
      </c>
      <c r="B3" t="str">
        <f>Raw_Data!B3</f>
        <v>Brighton</v>
      </c>
      <c r="C3">
        <f>Raw_Data!C3</f>
        <v>21</v>
      </c>
      <c r="D3" s="10">
        <f>Raw_Data!D3</f>
        <v>2222</v>
      </c>
      <c r="E3">
        <f>_xlfn.PERCENTRANK.INC(Raw_Data!$E$2:$E$60, Raw_Data!E3)</f>
        <v>0.20799999999999999</v>
      </c>
      <c r="F3">
        <f>_xlfn.PERCENTRANK.INC(Raw_Data!$F$2:$F$60, Raw_Data!F3)</f>
        <v>0</v>
      </c>
      <c r="G3">
        <f>_xlfn.PERCENTRANK.INC(Raw_Data!$G$2:$G$60, Raw_Data!G3)</f>
        <v>4.1000000000000002E-2</v>
      </c>
      <c r="H3">
        <f>_xlfn.PERCENTRANK.INC(Raw_Data!$H$2:$H$60, Raw_Data!H3)</f>
        <v>0.64500000000000002</v>
      </c>
      <c r="I3">
        <f>_xlfn.PERCENTRANK.INC(Raw_Data!$I$2:$I$60, Raw_Data!I3)</f>
        <v>6.2E-2</v>
      </c>
      <c r="J3">
        <f>_xlfn.PERCENTRANK.INC(Raw_Data!$J$2:$J$60, Raw_Data!J3)</f>
        <v>0.625</v>
      </c>
      <c r="K3">
        <f>_xlfn.PERCENTRANK.INC(Raw_Data!$K$2:$K$60, Raw_Data!K3)</f>
        <v>0.16600000000000001</v>
      </c>
      <c r="L3">
        <f>_xlfn.PERCENTRANK.INC(Raw_Data!$L$2:$L$60, Raw_Data!L3)</f>
        <v>6.2E-2</v>
      </c>
      <c r="M3">
        <f>_xlfn.PERCENTRANK.INC(Raw_Data!$M$2:$M$60, Raw_Data!M3)</f>
        <v>0.56200000000000006</v>
      </c>
      <c r="N3">
        <f>Raw_Data!N3</f>
        <v>15.9</v>
      </c>
      <c r="O3">
        <f>Raw_Data!O3</f>
        <v>1.7</v>
      </c>
      <c r="P3">
        <f>_xlfn.PERCENTRANK.INC(Raw_Data!$P$2:$P$60, Raw_Data!P3)</f>
        <v>0.625</v>
      </c>
      <c r="Q3">
        <f>_xlfn.PERCENTRANK.INC(Raw_Data!$Q$2:$Q$60, Raw_Data!Q3)</f>
        <v>0.70799999999999996</v>
      </c>
      <c r="R3">
        <f>_xlfn.PERCENTRANK.INC(Raw_Data!$R$2:$R$60, Raw_Data!R3)</f>
        <v>0.85399999999999998</v>
      </c>
      <c r="S3">
        <f>_xlfn.PERCENTRANK.INC(Raw_Data!$S$2:$S$60, Raw_Data!S3)</f>
        <v>0.85399999999999998</v>
      </c>
      <c r="T3">
        <f>_xlfn.PERCENTRANK.INC(Raw_Data!$T$2:$T$60, Raw_Data!T3)</f>
        <v>0.83299999999999996</v>
      </c>
      <c r="U3">
        <f>_xlfn.PERCENTRANK.INC(Raw_Data!$U$2:$U$60, Raw_Data!U3)</f>
        <v>0.85399999999999998</v>
      </c>
    </row>
    <row r="4" spans="1:21" x14ac:dyDescent="0.2">
      <c r="A4" t="str">
        <f>Raw_Data!A4</f>
        <v>Miguel Almirón</v>
      </c>
      <c r="B4" t="str">
        <f>Raw_Data!B4</f>
        <v>Newcastle Utd</v>
      </c>
      <c r="C4">
        <f>Raw_Data!C4</f>
        <v>29</v>
      </c>
      <c r="D4" s="10">
        <f>Raw_Data!D4</f>
        <v>1937</v>
      </c>
      <c r="E4">
        <f>_xlfn.PERCENTRANK.INC(Raw_Data!$E$2:$E$60, Raw_Data!E4)</f>
        <v>0.104</v>
      </c>
      <c r="F4">
        <f>_xlfn.PERCENTRANK.INC(Raw_Data!$F$2:$F$60, Raw_Data!F4)</f>
        <v>8.3000000000000004E-2</v>
      </c>
      <c r="G4">
        <f>_xlfn.PERCENTRANK.INC(Raw_Data!$G$2:$G$60, Raw_Data!G4)</f>
        <v>0.125</v>
      </c>
      <c r="H4">
        <f>_xlfn.PERCENTRANK.INC(Raw_Data!$H$2:$H$60, Raw_Data!H4)</f>
        <v>0.16600000000000001</v>
      </c>
      <c r="I4">
        <f>_xlfn.PERCENTRANK.INC(Raw_Data!$I$2:$I$60, Raw_Data!I4)</f>
        <v>0.41599999999999998</v>
      </c>
      <c r="J4">
        <f>_xlfn.PERCENTRANK.INC(Raw_Data!$J$2:$J$60, Raw_Data!J4)</f>
        <v>0.875</v>
      </c>
      <c r="K4">
        <f>_xlfn.PERCENTRANK.INC(Raw_Data!$K$2:$K$60, Raw_Data!K4)</f>
        <v>0.104</v>
      </c>
      <c r="L4">
        <f>_xlfn.PERCENTRANK.INC(Raw_Data!$L$2:$L$60, Raw_Data!L4)</f>
        <v>0.187</v>
      </c>
      <c r="M4">
        <f>_xlfn.PERCENTRANK.INC(Raw_Data!$M$2:$M$60, Raw_Data!M4)</f>
        <v>6.2E-2</v>
      </c>
      <c r="N4">
        <f>Raw_Data!N4</f>
        <v>16.100000000000001</v>
      </c>
      <c r="O4">
        <f>Raw_Data!O4</f>
        <v>-1.5</v>
      </c>
      <c r="P4">
        <f>_xlfn.PERCENTRANK.INC(Raw_Data!$P$2:$P$60, Raw_Data!P4)</f>
        <v>0.79100000000000004</v>
      </c>
      <c r="Q4">
        <f>_xlfn.PERCENTRANK.INC(Raw_Data!$Q$2:$Q$60, Raw_Data!Q4)</f>
        <v>0.45800000000000002</v>
      </c>
      <c r="R4">
        <f>_xlfn.PERCENTRANK.INC(Raw_Data!$R$2:$R$60, Raw_Data!R4)</f>
        <v>0.58299999999999996</v>
      </c>
      <c r="S4">
        <f>_xlfn.PERCENTRANK.INC(Raw_Data!$S$2:$S$60, Raw_Data!S4)</f>
        <v>0.68700000000000006</v>
      </c>
      <c r="T4">
        <f>_xlfn.PERCENTRANK.INC(Raw_Data!$T$2:$T$60, Raw_Data!T4)</f>
        <v>0.75</v>
      </c>
      <c r="U4">
        <f>_xlfn.PERCENTRANK.INC(Raw_Data!$U$2:$U$60, Raw_Data!U4)</f>
        <v>0.41599999999999998</v>
      </c>
    </row>
    <row r="5" spans="1:21" x14ac:dyDescent="0.2">
      <c r="A5" t="str">
        <f>Raw_Data!A5</f>
        <v>Zeki Amdouni</v>
      </c>
      <c r="B5" t="str">
        <f>Raw_Data!B5</f>
        <v>Burnley</v>
      </c>
      <c r="C5">
        <f>Raw_Data!C5</f>
        <v>22</v>
      </c>
      <c r="D5" s="10">
        <f>Raw_Data!D5</f>
        <v>1953</v>
      </c>
      <c r="E5">
        <f>_xlfn.PERCENTRANK.INC(Raw_Data!$E$2:$E$60, Raw_Data!E5)</f>
        <v>0.29099999999999998</v>
      </c>
      <c r="F5">
        <f>_xlfn.PERCENTRANK.INC(Raw_Data!$F$2:$F$60, Raw_Data!F5)</f>
        <v>0.20799999999999999</v>
      </c>
      <c r="G5">
        <f>_xlfn.PERCENTRANK.INC(Raw_Data!$G$2:$G$60, Raw_Data!G5)</f>
        <v>0.16600000000000001</v>
      </c>
      <c r="H5">
        <f>_xlfn.PERCENTRANK.INC(Raw_Data!$H$2:$H$60, Raw_Data!H5)</f>
        <v>4.1000000000000002E-2</v>
      </c>
      <c r="I5">
        <f>_xlfn.PERCENTRANK.INC(Raw_Data!$I$2:$I$60, Raw_Data!I5)</f>
        <v>0.91600000000000004</v>
      </c>
      <c r="J5">
        <f>_xlfn.PERCENTRANK.INC(Raw_Data!$J$2:$J$60, Raw_Data!J5)</f>
        <v>6.2E-2</v>
      </c>
      <c r="K5">
        <f>_xlfn.PERCENTRANK.INC(Raw_Data!$K$2:$K$60, Raw_Data!K5)</f>
        <v>0.35399999999999998</v>
      </c>
      <c r="L5">
        <f>_xlfn.PERCENTRANK.INC(Raw_Data!$L$2:$L$60, Raw_Data!L5)</f>
        <v>0.72899999999999998</v>
      </c>
      <c r="M5">
        <f>_xlfn.PERCENTRANK.INC(Raw_Data!$M$2:$M$60, Raw_Data!M5)</f>
        <v>0.625</v>
      </c>
      <c r="N5">
        <f>Raw_Data!N5</f>
        <v>17.8</v>
      </c>
      <c r="O5">
        <f>Raw_Data!O5</f>
        <v>-0.8</v>
      </c>
      <c r="P5">
        <f>_xlfn.PERCENTRANK.INC(Raw_Data!$P$2:$P$60, Raw_Data!P5)</f>
        <v>0.35399999999999998</v>
      </c>
      <c r="Q5">
        <f>_xlfn.PERCENTRANK.INC(Raw_Data!$Q$2:$Q$60, Raw_Data!Q5)</f>
        <v>0.25</v>
      </c>
      <c r="R5">
        <f>_xlfn.PERCENTRANK.INC(Raw_Data!$R$2:$R$60, Raw_Data!R5)</f>
        <v>0.20799999999999999</v>
      </c>
      <c r="S5">
        <f>_xlfn.PERCENTRANK.INC(Raw_Data!$S$2:$S$60, Raw_Data!S5)</f>
        <v>0.58299999999999996</v>
      </c>
      <c r="T5">
        <f>_xlfn.PERCENTRANK.INC(Raw_Data!$T$2:$T$60, Raw_Data!T5)</f>
        <v>0.56200000000000006</v>
      </c>
      <c r="U5">
        <f>_xlfn.PERCENTRANK.INC(Raw_Data!$U$2:$U$60, Raw_Data!U5)</f>
        <v>0.375</v>
      </c>
    </row>
    <row r="6" spans="1:21" x14ac:dyDescent="0.2">
      <c r="A6" t="str">
        <f>Raw_Data!A6</f>
        <v>Michail Antonio</v>
      </c>
      <c r="B6" t="str">
        <f>Raw_Data!B6</f>
        <v>West Ham</v>
      </c>
      <c r="C6">
        <f>Raw_Data!C6</f>
        <v>33</v>
      </c>
      <c r="D6" s="10">
        <f>Raw_Data!D6</f>
        <v>1695</v>
      </c>
      <c r="E6">
        <f>_xlfn.PERCENTRANK.INC(Raw_Data!$E$2:$E$60, Raw_Data!E6)</f>
        <v>0.02</v>
      </c>
      <c r="F6">
        <f>_xlfn.PERCENTRANK.INC(Raw_Data!$F$2:$F$60, Raw_Data!F6)</f>
        <v>0.33300000000000002</v>
      </c>
      <c r="G6">
        <f>_xlfn.PERCENTRANK.INC(Raw_Data!$G$2:$G$60, Raw_Data!G6)</f>
        <v>0.33300000000000002</v>
      </c>
      <c r="H6">
        <f>_xlfn.PERCENTRANK.INC(Raw_Data!$H$2:$H$60, Raw_Data!H6)</f>
        <v>6.2E-2</v>
      </c>
      <c r="I6">
        <f>_xlfn.PERCENTRANK.INC(Raw_Data!$I$2:$I$60, Raw_Data!I6)</f>
        <v>0.52</v>
      </c>
      <c r="J6">
        <f>_xlfn.PERCENTRANK.INC(Raw_Data!$J$2:$J$60, Raw_Data!J6)</f>
        <v>0.56200000000000006</v>
      </c>
      <c r="K6">
        <f>_xlfn.PERCENTRANK.INC(Raw_Data!$K$2:$K$60, Raw_Data!K6)</f>
        <v>0.72899999999999998</v>
      </c>
      <c r="L6">
        <f>_xlfn.PERCENTRANK.INC(Raw_Data!$L$2:$L$60, Raw_Data!L6)</f>
        <v>0.54100000000000004</v>
      </c>
      <c r="M6">
        <f>_xlfn.PERCENTRANK.INC(Raw_Data!$M$2:$M$60, Raw_Data!M6)</f>
        <v>0.81200000000000006</v>
      </c>
      <c r="N6">
        <f>Raw_Data!N6</f>
        <v>13.1</v>
      </c>
      <c r="O6">
        <f>Raw_Data!O6</f>
        <v>0.2</v>
      </c>
      <c r="P6">
        <f>_xlfn.PERCENTRANK.INC(Raw_Data!$P$2:$P$60, Raw_Data!P6)</f>
        <v>0.14499999999999999</v>
      </c>
      <c r="Q6">
        <f>_xlfn.PERCENTRANK.INC(Raw_Data!$Q$2:$Q$60, Raw_Data!Q6)</f>
        <v>0.02</v>
      </c>
      <c r="R6">
        <f>_xlfn.PERCENTRANK.INC(Raw_Data!$R$2:$R$60, Raw_Data!R6)</f>
        <v>0.27</v>
      </c>
      <c r="S6">
        <f>_xlfn.PERCENTRANK.INC(Raw_Data!$S$2:$S$60, Raw_Data!S6)</f>
        <v>0.5</v>
      </c>
      <c r="T6">
        <f>_xlfn.PERCENTRANK.INC(Raw_Data!$T$2:$T$60, Raw_Data!T6)</f>
        <v>0.45800000000000002</v>
      </c>
      <c r="U6">
        <f>_xlfn.PERCENTRANK.INC(Raw_Data!$U$2:$U$60, Raw_Data!U6)</f>
        <v>0.35399999999999998</v>
      </c>
    </row>
    <row r="7" spans="1:21" x14ac:dyDescent="0.2">
      <c r="A7" t="str">
        <f>Raw_Data!A7</f>
        <v>Antony</v>
      </c>
      <c r="B7" t="str">
        <f>Raw_Data!B7</f>
        <v>Manchester Utd</v>
      </c>
      <c r="C7">
        <f>Raw_Data!C7</f>
        <v>23</v>
      </c>
      <c r="D7" s="10">
        <f>Raw_Data!D7</f>
        <v>1324</v>
      </c>
      <c r="E7">
        <f>_xlfn.PERCENTRANK.INC(Raw_Data!$E$2:$E$60, Raw_Data!E7)</f>
        <v>0.64500000000000002</v>
      </c>
      <c r="F7">
        <f>_xlfn.PERCENTRANK.INC(Raw_Data!$F$2:$F$60, Raw_Data!F7)</f>
        <v>0.16600000000000001</v>
      </c>
      <c r="G7">
        <f>_xlfn.PERCENTRANK.INC(Raw_Data!$G$2:$G$60, Raw_Data!G7)</f>
        <v>0.16600000000000001</v>
      </c>
      <c r="H7">
        <f>_xlfn.PERCENTRANK.INC(Raw_Data!$H$2:$H$60, Raw_Data!H7)</f>
        <v>0.14499999999999999</v>
      </c>
      <c r="I7">
        <f>_xlfn.PERCENTRANK.INC(Raw_Data!$I$2:$I$60, Raw_Data!I7)</f>
        <v>0.95799999999999996</v>
      </c>
      <c r="J7">
        <f>_xlfn.PERCENTRANK.INC(Raw_Data!$J$2:$J$60, Raw_Data!J7)</f>
        <v>0</v>
      </c>
      <c r="K7">
        <f>_xlfn.PERCENTRANK.INC(Raw_Data!$K$2:$K$60, Raw_Data!K7)</f>
        <v>0</v>
      </c>
      <c r="L7">
        <f>_xlfn.PERCENTRANK.INC(Raw_Data!$L$2:$L$60, Raw_Data!L7)</f>
        <v>0.95799999999999996</v>
      </c>
      <c r="M7">
        <f>_xlfn.PERCENTRANK.INC(Raw_Data!$M$2:$M$60, Raw_Data!M7)</f>
        <v>0.312</v>
      </c>
      <c r="N7">
        <f>Raw_Data!N7</f>
        <v>18.899999999999999</v>
      </c>
      <c r="O7">
        <f>Raw_Data!O7</f>
        <v>-2.4</v>
      </c>
      <c r="P7">
        <f>_xlfn.PERCENTRANK.INC(Raw_Data!$P$2:$P$60, Raw_Data!P7)</f>
        <v>0.875</v>
      </c>
      <c r="Q7">
        <f>_xlfn.PERCENTRANK.INC(Raw_Data!$Q$2:$Q$60, Raw_Data!Q7)</f>
        <v>0.35399999999999998</v>
      </c>
      <c r="R7">
        <f>_xlfn.PERCENTRANK.INC(Raw_Data!$R$2:$R$60, Raw_Data!R7)</f>
        <v>0.52</v>
      </c>
      <c r="S7">
        <f>_xlfn.PERCENTRANK.INC(Raw_Data!$S$2:$S$60, Raw_Data!S7)</f>
        <v>0.66600000000000004</v>
      </c>
      <c r="T7">
        <f>_xlfn.PERCENTRANK.INC(Raw_Data!$T$2:$T$60, Raw_Data!T7)</f>
        <v>0.89500000000000002</v>
      </c>
      <c r="U7">
        <f>_xlfn.PERCENTRANK.INC(Raw_Data!$U$2:$U$60, Raw_Data!U7)</f>
        <v>0.47899999999999998</v>
      </c>
    </row>
    <row r="8" spans="1:21" x14ac:dyDescent="0.2">
      <c r="A8" t="str">
        <f>Raw_Data!A8</f>
        <v>Taiwo Awoniyi</v>
      </c>
      <c r="B8" t="str">
        <f>Raw_Data!B8</f>
        <v>Nott'ham Forest</v>
      </c>
      <c r="C8">
        <f>Raw_Data!C8</f>
        <v>25</v>
      </c>
      <c r="D8" s="10">
        <f>Raw_Data!D8</f>
        <v>1042</v>
      </c>
      <c r="E8">
        <f>_xlfn.PERCENTRANK.INC(Raw_Data!$E$2:$E$60, Raw_Data!E8)</f>
        <v>8.3000000000000004E-2</v>
      </c>
      <c r="F8">
        <f>_xlfn.PERCENTRANK.INC(Raw_Data!$F$2:$F$60, Raw_Data!F8)</f>
        <v>0.58299999999999996</v>
      </c>
      <c r="G8">
        <f>_xlfn.PERCENTRANK.INC(Raw_Data!$G$2:$G$60, Raw_Data!G8)</f>
        <v>0.66600000000000004</v>
      </c>
      <c r="H8">
        <f>_xlfn.PERCENTRANK.INC(Raw_Data!$H$2:$H$60, Raw_Data!H8)</f>
        <v>0.125</v>
      </c>
      <c r="I8">
        <f>_xlfn.PERCENTRANK.INC(Raw_Data!$I$2:$I$60, Raw_Data!I8)</f>
        <v>0.54100000000000004</v>
      </c>
      <c r="J8">
        <f>_xlfn.PERCENTRANK.INC(Raw_Data!$J$2:$J$60, Raw_Data!J8)</f>
        <v>0.22900000000000001</v>
      </c>
      <c r="K8">
        <f>_xlfn.PERCENTRANK.INC(Raw_Data!$K$2:$K$60, Raw_Data!K8)</f>
        <v>0.75</v>
      </c>
      <c r="L8">
        <f>_xlfn.PERCENTRANK.INC(Raw_Data!$L$2:$L$60, Raw_Data!L8)</f>
        <v>0.47899999999999998</v>
      </c>
      <c r="M8">
        <f>_xlfn.PERCENTRANK.INC(Raw_Data!$M$2:$M$60, Raw_Data!M8)</f>
        <v>0.875</v>
      </c>
      <c r="N8">
        <f>Raw_Data!N8</f>
        <v>11.5</v>
      </c>
      <c r="O8">
        <f>Raw_Data!O8</f>
        <v>1.3</v>
      </c>
      <c r="P8">
        <f>_xlfn.PERCENTRANK.INC(Raw_Data!$P$2:$P$60, Raw_Data!P8)</f>
        <v>6.2E-2</v>
      </c>
      <c r="Q8">
        <f>_xlfn.PERCENTRANK.INC(Raw_Data!$Q$2:$Q$60, Raw_Data!Q8)</f>
        <v>8.3000000000000004E-2</v>
      </c>
      <c r="R8">
        <f>_xlfn.PERCENTRANK.INC(Raw_Data!$R$2:$R$60, Raw_Data!R8)</f>
        <v>0</v>
      </c>
      <c r="S8">
        <f>_xlfn.PERCENTRANK.INC(Raw_Data!$S$2:$S$60, Raw_Data!S8)</f>
        <v>4.1000000000000002E-2</v>
      </c>
      <c r="T8">
        <f>_xlfn.PERCENTRANK.INC(Raw_Data!$T$2:$T$60, Raw_Data!T8)</f>
        <v>0.125</v>
      </c>
      <c r="U8">
        <f>_xlfn.PERCENTRANK.INC(Raw_Data!$U$2:$U$60, Raw_Data!U8)</f>
        <v>8.3000000000000004E-2</v>
      </c>
    </row>
    <row r="9" spans="1:21" x14ac:dyDescent="0.2">
      <c r="A9" t="str">
        <f>Raw_Data!A9</f>
        <v>Beto</v>
      </c>
      <c r="B9" t="str">
        <f>Raw_Data!B9</f>
        <v>Everton</v>
      </c>
      <c r="C9">
        <f>Raw_Data!C9</f>
        <v>25</v>
      </c>
      <c r="D9" s="10">
        <f>Raw_Data!D9</f>
        <v>951</v>
      </c>
      <c r="E9">
        <f>_xlfn.PERCENTRANK.INC(Raw_Data!$E$2:$E$60, Raw_Data!E9)</f>
        <v>0.93700000000000006</v>
      </c>
      <c r="F9">
        <f>_xlfn.PERCENTRANK.INC(Raw_Data!$F$2:$F$60, Raw_Data!F9)</f>
        <v>0.89500000000000002</v>
      </c>
      <c r="G9">
        <f>_xlfn.PERCENTRANK.INC(Raw_Data!$G$2:$G$60, Raw_Data!G9)</f>
        <v>0.85399999999999998</v>
      </c>
      <c r="H9">
        <f>_xlfn.PERCENTRANK.INC(Raw_Data!$H$2:$H$60, Raw_Data!H9)</f>
        <v>0.625</v>
      </c>
      <c r="I9">
        <f>_xlfn.PERCENTRANK.INC(Raw_Data!$I$2:$I$60, Raw_Data!I9)</f>
        <v>0.89500000000000002</v>
      </c>
      <c r="J9">
        <f>_xlfn.PERCENTRANK.INC(Raw_Data!$J$2:$J$60, Raw_Data!J9)</f>
        <v>0.83299999999999996</v>
      </c>
      <c r="K9">
        <f>_xlfn.PERCENTRANK.INC(Raw_Data!$K$2:$K$60, Raw_Data!K9)</f>
        <v>0.95799999999999996</v>
      </c>
      <c r="L9">
        <f>_xlfn.PERCENTRANK.INC(Raw_Data!$L$2:$L$60, Raw_Data!L9)</f>
        <v>0.70799999999999996</v>
      </c>
      <c r="M9">
        <f>_xlfn.PERCENTRANK.INC(Raw_Data!$M$2:$M$60, Raw_Data!M9)</f>
        <v>4.1000000000000002E-2</v>
      </c>
      <c r="N9">
        <f>Raw_Data!N9</f>
        <v>14.7</v>
      </c>
      <c r="O9">
        <f>Raw_Data!O9</f>
        <v>-3.8</v>
      </c>
      <c r="P9">
        <f>_xlfn.PERCENTRANK.INC(Raw_Data!$P$2:$P$60, Raw_Data!P9)</f>
        <v>0.35399999999999998</v>
      </c>
      <c r="Q9">
        <f>_xlfn.PERCENTRANK.INC(Raw_Data!$Q$2:$Q$60, Raw_Data!Q9)</f>
        <v>0.104</v>
      </c>
      <c r="R9">
        <f>_xlfn.PERCENTRANK.INC(Raw_Data!$R$2:$R$60, Raw_Data!R9)</f>
        <v>0.02</v>
      </c>
      <c r="S9">
        <f>_xlfn.PERCENTRANK.INC(Raw_Data!$S$2:$S$60, Raw_Data!S9)</f>
        <v>0.20799999999999999</v>
      </c>
      <c r="T9">
        <f>_xlfn.PERCENTRANK.INC(Raw_Data!$T$2:$T$60, Raw_Data!T9)</f>
        <v>0.22900000000000001</v>
      </c>
      <c r="U9">
        <f>_xlfn.PERCENTRANK.INC(Raw_Data!$U$2:$U$60, Raw_Data!U9)</f>
        <v>0.187</v>
      </c>
    </row>
    <row r="10" spans="1:21" x14ac:dyDescent="0.2">
      <c r="A10" t="str">
        <f>Raw_Data!A10</f>
        <v>Jarrod Bowen</v>
      </c>
      <c r="B10" t="str">
        <f>Raw_Data!B10</f>
        <v>West Ham</v>
      </c>
      <c r="C10">
        <f>Raw_Data!C10</f>
        <v>26</v>
      </c>
      <c r="D10" s="10">
        <f>Raw_Data!D10</f>
        <v>3019</v>
      </c>
      <c r="E10">
        <f>_xlfn.PERCENTRANK.INC(Raw_Data!$E$2:$E$60, Raw_Data!E10)</f>
        <v>0.45800000000000002</v>
      </c>
      <c r="F10">
        <f>_xlfn.PERCENTRANK.INC(Raw_Data!$F$2:$F$60, Raw_Data!F10)</f>
        <v>0.41599999999999998</v>
      </c>
      <c r="G10">
        <f>_xlfn.PERCENTRANK.INC(Raw_Data!$G$2:$G$60, Raw_Data!G10)</f>
        <v>0.47899999999999998</v>
      </c>
      <c r="H10">
        <f>_xlfn.PERCENTRANK.INC(Raw_Data!$H$2:$H$60, Raw_Data!H10)</f>
        <v>0.47899999999999998</v>
      </c>
      <c r="I10">
        <f>_xlfn.PERCENTRANK.INC(Raw_Data!$I$2:$I$60, Raw_Data!I10)</f>
        <v>0.437</v>
      </c>
      <c r="J10">
        <f>_xlfn.PERCENTRANK.INC(Raw_Data!$J$2:$J$60, Raw_Data!J10)</f>
        <v>0.29099999999999998</v>
      </c>
      <c r="K10">
        <f>_xlfn.PERCENTRANK.INC(Raw_Data!$K$2:$K$60, Raw_Data!K10)</f>
        <v>0.52</v>
      </c>
      <c r="L10">
        <f>_xlfn.PERCENTRANK.INC(Raw_Data!$L$2:$L$60, Raw_Data!L10)</f>
        <v>0.33300000000000002</v>
      </c>
      <c r="M10">
        <f>_xlfn.PERCENTRANK.INC(Raw_Data!$M$2:$M$60, Raw_Data!M10)</f>
        <v>0.68700000000000006</v>
      </c>
      <c r="N10">
        <f>Raw_Data!N10</f>
        <v>14.2</v>
      </c>
      <c r="O10">
        <f>Raw_Data!O10</f>
        <v>4.4000000000000004</v>
      </c>
      <c r="P10">
        <f>_xlfn.PERCENTRANK.INC(Raw_Data!$P$2:$P$60, Raw_Data!P10)</f>
        <v>0.25</v>
      </c>
      <c r="Q10">
        <f>_xlfn.PERCENTRANK.INC(Raw_Data!$Q$2:$Q$60, Raw_Data!Q10)</f>
        <v>0.625</v>
      </c>
      <c r="R10">
        <f>_xlfn.PERCENTRANK.INC(Raw_Data!$R$2:$R$60, Raw_Data!R10)</f>
        <v>0.68700000000000006</v>
      </c>
      <c r="S10">
        <f>_xlfn.PERCENTRANK.INC(Raw_Data!$S$2:$S$60, Raw_Data!S10)</f>
        <v>0.54100000000000004</v>
      </c>
      <c r="T10">
        <f>_xlfn.PERCENTRANK.INC(Raw_Data!$T$2:$T$60, Raw_Data!T10)</f>
        <v>0.47899999999999998</v>
      </c>
      <c r="U10">
        <f>_xlfn.PERCENTRANK.INC(Raw_Data!$U$2:$U$60, Raw_Data!U10)</f>
        <v>0.79100000000000004</v>
      </c>
    </row>
    <row r="11" spans="1:21" x14ac:dyDescent="0.2">
      <c r="A11" t="str">
        <f>Raw_Data!A11</f>
        <v>Dominic Calvert-Lewin</v>
      </c>
      <c r="B11" t="str">
        <f>Raw_Data!B11</f>
        <v>Everton</v>
      </c>
      <c r="C11">
        <f>Raw_Data!C11</f>
        <v>26</v>
      </c>
      <c r="D11" s="10">
        <f>Raw_Data!D11</f>
        <v>2171</v>
      </c>
      <c r="E11">
        <f>_xlfn.PERCENTRANK.INC(Raw_Data!$E$2:$E$60, Raw_Data!E11)</f>
        <v>0.66600000000000004</v>
      </c>
      <c r="F11">
        <f>_xlfn.PERCENTRANK.INC(Raw_Data!$F$2:$F$60, Raw_Data!F11)</f>
        <v>0.81200000000000006</v>
      </c>
      <c r="G11">
        <f>_xlfn.PERCENTRANK.INC(Raw_Data!$G$2:$G$60, Raw_Data!G11)</f>
        <v>0.75</v>
      </c>
      <c r="H11">
        <f>_xlfn.PERCENTRANK.INC(Raw_Data!$H$2:$H$60, Raw_Data!H11)</f>
        <v>0.437</v>
      </c>
      <c r="I11">
        <f>_xlfn.PERCENTRANK.INC(Raw_Data!$I$2:$I$60, Raw_Data!I11)</f>
        <v>0.77</v>
      </c>
      <c r="J11">
        <f>_xlfn.PERCENTRANK.INC(Raw_Data!$J$2:$J$60, Raw_Data!J11)</f>
        <v>0.93700000000000006</v>
      </c>
      <c r="K11">
        <f>_xlfn.PERCENTRANK.INC(Raw_Data!$K$2:$K$60, Raw_Data!K11)</f>
        <v>0.97899999999999998</v>
      </c>
      <c r="L11">
        <f>_xlfn.PERCENTRANK.INC(Raw_Data!$L$2:$L$60, Raw_Data!L11)</f>
        <v>0.437</v>
      </c>
      <c r="M11">
        <f>_xlfn.PERCENTRANK.INC(Raw_Data!$M$2:$M$60, Raw_Data!M11)</f>
        <v>0.47899999999999998</v>
      </c>
      <c r="N11">
        <f>Raw_Data!N11</f>
        <v>13.9</v>
      </c>
      <c r="O11">
        <f>Raw_Data!O11</f>
        <v>-5.9</v>
      </c>
      <c r="P11">
        <f>_xlfn.PERCENTRANK.INC(Raw_Data!$P$2:$P$60, Raw_Data!P11)</f>
        <v>0.33300000000000002</v>
      </c>
      <c r="Q11">
        <f>_xlfn.PERCENTRANK.INC(Raw_Data!$Q$2:$Q$60, Raw_Data!Q11)</f>
        <v>0.312</v>
      </c>
      <c r="R11">
        <f>_xlfn.PERCENTRANK.INC(Raw_Data!$R$2:$R$60, Raw_Data!R11)</f>
        <v>0.375</v>
      </c>
      <c r="S11">
        <f>_xlfn.PERCENTRANK.INC(Raw_Data!$S$2:$S$60, Raw_Data!S11)</f>
        <v>0.312</v>
      </c>
      <c r="T11">
        <f>_xlfn.PERCENTRANK.INC(Raw_Data!$T$2:$T$60, Raw_Data!T11)</f>
        <v>0.20799999999999999</v>
      </c>
      <c r="U11">
        <f>_xlfn.PERCENTRANK.INC(Raw_Data!$U$2:$U$60, Raw_Data!U11)</f>
        <v>0.41599999999999998</v>
      </c>
    </row>
    <row r="12" spans="1:21" x14ac:dyDescent="0.2">
      <c r="A12" t="str">
        <f>Raw_Data!A12</f>
        <v>Bobby De Cordova-Reid</v>
      </c>
      <c r="B12" t="str">
        <f>Raw_Data!B12</f>
        <v>Fulham</v>
      </c>
      <c r="C12">
        <f>Raw_Data!C12</f>
        <v>30</v>
      </c>
      <c r="D12" s="10">
        <f>Raw_Data!D12</f>
        <v>1423</v>
      </c>
      <c r="E12">
        <f>_xlfn.PERCENTRANK.INC(Raw_Data!$E$2:$E$60, Raw_Data!E12)</f>
        <v>0.187</v>
      </c>
      <c r="F12">
        <f>_xlfn.PERCENTRANK.INC(Raw_Data!$F$2:$F$60, Raw_Data!F12)</f>
        <v>0.22900000000000001</v>
      </c>
      <c r="G12">
        <f>_xlfn.PERCENTRANK.INC(Raw_Data!$G$2:$G$60, Raw_Data!G12)</f>
        <v>0.25</v>
      </c>
      <c r="H12">
        <f>_xlfn.PERCENTRANK.INC(Raw_Data!$H$2:$H$60, Raw_Data!H12)</f>
        <v>0.104</v>
      </c>
      <c r="I12">
        <f>_xlfn.PERCENTRANK.INC(Raw_Data!$I$2:$I$60, Raw_Data!I12)</f>
        <v>0.81200000000000006</v>
      </c>
      <c r="J12">
        <f>_xlfn.PERCENTRANK.INC(Raw_Data!$J$2:$J$60, Raw_Data!J12)</f>
        <v>0.375</v>
      </c>
      <c r="K12">
        <f>_xlfn.PERCENTRANK.INC(Raw_Data!$K$2:$K$60, Raw_Data!K12)</f>
        <v>0.39500000000000002</v>
      </c>
      <c r="L12">
        <f>_xlfn.PERCENTRANK.INC(Raw_Data!$L$2:$L$60, Raw_Data!L12)</f>
        <v>0.60399999999999998</v>
      </c>
      <c r="M12">
        <f>_xlfn.PERCENTRANK.INC(Raw_Data!$M$2:$M$60, Raw_Data!M12)</f>
        <v>0</v>
      </c>
      <c r="N12">
        <f>Raw_Data!N12</f>
        <v>15.7</v>
      </c>
      <c r="O12">
        <f>Raw_Data!O12</f>
        <v>1.4</v>
      </c>
      <c r="P12">
        <f>_xlfn.PERCENTRANK.INC(Raw_Data!$P$2:$P$60, Raw_Data!P12)</f>
        <v>0.56200000000000006</v>
      </c>
      <c r="Q12">
        <f>_xlfn.PERCENTRANK.INC(Raw_Data!$Q$2:$Q$60, Raw_Data!Q12)</f>
        <v>0.27</v>
      </c>
      <c r="R12">
        <f>_xlfn.PERCENTRANK.INC(Raw_Data!$R$2:$R$60, Raw_Data!R12)</f>
        <v>0.22900000000000001</v>
      </c>
      <c r="S12">
        <f>_xlfn.PERCENTRANK.INC(Raw_Data!$S$2:$S$60, Raw_Data!S12)</f>
        <v>0.41599999999999998</v>
      </c>
      <c r="T12">
        <f>_xlfn.PERCENTRANK.INC(Raw_Data!$T$2:$T$60, Raw_Data!T12)</f>
        <v>0.437</v>
      </c>
      <c r="U12">
        <f>_xlfn.PERCENTRANK.INC(Raw_Data!$U$2:$U$60, Raw_Data!U12)</f>
        <v>0.125</v>
      </c>
    </row>
    <row r="13" spans="1:21" x14ac:dyDescent="0.2">
      <c r="A13" t="str">
        <f>Raw_Data!A13</f>
        <v>Luis Díaz</v>
      </c>
      <c r="B13" t="str">
        <f>Raw_Data!B13</f>
        <v>Liverpool</v>
      </c>
      <c r="C13">
        <f>Raw_Data!C13</f>
        <v>26</v>
      </c>
      <c r="D13" s="10">
        <f>Raw_Data!D13</f>
        <v>2629</v>
      </c>
      <c r="E13">
        <f>_xlfn.PERCENTRANK.INC(Raw_Data!$E$2:$E$60, Raw_Data!E13)</f>
        <v>0.81200000000000006</v>
      </c>
      <c r="F13">
        <f>_xlfn.PERCENTRANK.INC(Raw_Data!$F$2:$F$60, Raw_Data!F13)</f>
        <v>0.58299999999999996</v>
      </c>
      <c r="G13">
        <f>_xlfn.PERCENTRANK.INC(Raw_Data!$G$2:$G$60, Raw_Data!G13)</f>
        <v>0.66600000000000004</v>
      </c>
      <c r="H13">
        <f>_xlfn.PERCENTRANK.INC(Raw_Data!$H$2:$H$60, Raw_Data!H13)</f>
        <v>0.83299999999999996</v>
      </c>
      <c r="I13">
        <f>_xlfn.PERCENTRANK.INC(Raw_Data!$I$2:$I$60, Raw_Data!I13)</f>
        <v>0.29099999999999998</v>
      </c>
      <c r="J13">
        <f>_xlfn.PERCENTRANK.INC(Raw_Data!$J$2:$J$60, Raw_Data!J13)</f>
        <v>0.375</v>
      </c>
      <c r="K13">
        <f>_xlfn.PERCENTRANK.INC(Raw_Data!$K$2:$K$60, Raw_Data!K13)</f>
        <v>0.45800000000000002</v>
      </c>
      <c r="L13">
        <f>_xlfn.PERCENTRANK.INC(Raw_Data!$L$2:$L$60, Raw_Data!L13)</f>
        <v>0.52</v>
      </c>
      <c r="M13">
        <f>_xlfn.PERCENTRANK.INC(Raw_Data!$M$2:$M$60, Raw_Data!M13)</f>
        <v>0.22900000000000001</v>
      </c>
      <c r="N13">
        <f>Raw_Data!N13</f>
        <v>15</v>
      </c>
      <c r="O13">
        <f>Raw_Data!O13</f>
        <v>-3.9</v>
      </c>
      <c r="P13">
        <f>_xlfn.PERCENTRANK.INC(Raw_Data!$P$2:$P$60, Raw_Data!P13)</f>
        <v>0.85399999999999998</v>
      </c>
      <c r="Q13">
        <f>_xlfn.PERCENTRANK.INC(Raw_Data!$Q$2:$Q$60, Raw_Data!Q13)</f>
        <v>0.93700000000000006</v>
      </c>
      <c r="R13">
        <f>_xlfn.PERCENTRANK.INC(Raw_Data!$R$2:$R$60, Raw_Data!R13)</f>
        <v>0.91600000000000004</v>
      </c>
      <c r="S13">
        <f>_xlfn.PERCENTRANK.INC(Raw_Data!$S$2:$S$60, Raw_Data!S13)</f>
        <v>0.875</v>
      </c>
      <c r="T13">
        <f>_xlfn.PERCENTRANK.INC(Raw_Data!$T$2:$T$60, Raw_Data!T13)</f>
        <v>0.85399999999999998</v>
      </c>
      <c r="U13">
        <f>_xlfn.PERCENTRANK.INC(Raw_Data!$U$2:$U$60, Raw_Data!U13)</f>
        <v>0.93700000000000006</v>
      </c>
    </row>
    <row r="14" spans="1:21" x14ac:dyDescent="0.2">
      <c r="A14" t="str">
        <f>Raw_Data!A14</f>
        <v>Evan Ferguson</v>
      </c>
      <c r="B14" t="str">
        <f>Raw_Data!B14</f>
        <v>Brighton</v>
      </c>
      <c r="C14">
        <f>Raw_Data!C14</f>
        <v>18</v>
      </c>
      <c r="D14" s="10">
        <f>Raw_Data!D14</f>
        <v>1367</v>
      </c>
      <c r="E14">
        <f>_xlfn.PERCENTRANK.INC(Raw_Data!$E$2:$E$60, Raw_Data!E14)</f>
        <v>0.25</v>
      </c>
      <c r="F14">
        <f>_xlfn.PERCENTRANK.INC(Raw_Data!$F$2:$F$60, Raw_Data!F14)</f>
        <v>0.29099999999999998</v>
      </c>
      <c r="G14">
        <f>_xlfn.PERCENTRANK.INC(Raw_Data!$G$2:$G$60, Raw_Data!G14)</f>
        <v>0.312</v>
      </c>
      <c r="H14">
        <f>_xlfn.PERCENTRANK.INC(Raw_Data!$H$2:$H$60, Raw_Data!H14)</f>
        <v>0.02</v>
      </c>
      <c r="I14">
        <f>_xlfn.PERCENTRANK.INC(Raw_Data!$I$2:$I$60, Raw_Data!I14)</f>
        <v>0.93700000000000006</v>
      </c>
      <c r="J14">
        <f>_xlfn.PERCENTRANK.INC(Raw_Data!$J$2:$J$60, Raw_Data!J14)</f>
        <v>0.70799999999999996</v>
      </c>
      <c r="K14">
        <f>_xlfn.PERCENTRANK.INC(Raw_Data!$K$2:$K$60, Raw_Data!K14)</f>
        <v>0.437</v>
      </c>
      <c r="L14">
        <f>_xlfn.PERCENTRANK.INC(Raw_Data!$L$2:$L$60, Raw_Data!L14)</f>
        <v>0.64500000000000002</v>
      </c>
      <c r="M14">
        <f>_xlfn.PERCENTRANK.INC(Raw_Data!$M$2:$M$60, Raw_Data!M14)</f>
        <v>1</v>
      </c>
      <c r="N14">
        <f>Raw_Data!N14</f>
        <v>15.5</v>
      </c>
      <c r="O14">
        <f>Raw_Data!O14</f>
        <v>1.4</v>
      </c>
      <c r="P14">
        <f>_xlfn.PERCENTRANK.INC(Raw_Data!$P$2:$P$60, Raw_Data!P14)</f>
        <v>0.22900000000000001</v>
      </c>
      <c r="Q14">
        <f>_xlfn.PERCENTRANK.INC(Raw_Data!$Q$2:$Q$60, Raw_Data!Q14)</f>
        <v>0</v>
      </c>
      <c r="R14">
        <f>_xlfn.PERCENTRANK.INC(Raw_Data!$R$2:$R$60, Raw_Data!R14)</f>
        <v>6.2E-2</v>
      </c>
      <c r="S14">
        <f>_xlfn.PERCENTRANK.INC(Raw_Data!$S$2:$S$60, Raw_Data!S14)</f>
        <v>0.104</v>
      </c>
      <c r="T14">
        <f>_xlfn.PERCENTRANK.INC(Raw_Data!$T$2:$T$60, Raw_Data!T14)</f>
        <v>0.104</v>
      </c>
      <c r="U14">
        <f>_xlfn.PERCENTRANK.INC(Raw_Data!$U$2:$U$60, Raw_Data!U14)</f>
        <v>4.1000000000000002E-2</v>
      </c>
    </row>
    <row r="15" spans="1:21" x14ac:dyDescent="0.2">
      <c r="A15" t="str">
        <f>Raw_Data!A15</f>
        <v>Alejandro Garnacho</v>
      </c>
      <c r="B15" t="str">
        <f>Raw_Data!B15</f>
        <v>Manchester Utd</v>
      </c>
      <c r="C15">
        <f>Raw_Data!C15</f>
        <v>19</v>
      </c>
      <c r="D15" s="10">
        <f>Raw_Data!D15</f>
        <v>2565</v>
      </c>
      <c r="E15">
        <f>_xlfn.PERCENTRANK.INC(Raw_Data!$E$2:$E$60, Raw_Data!E15)</f>
        <v>0.875</v>
      </c>
      <c r="F15">
        <f>_xlfn.PERCENTRANK.INC(Raw_Data!$F$2:$F$60, Raw_Data!F15)</f>
        <v>0.22900000000000001</v>
      </c>
      <c r="G15">
        <f>_xlfn.PERCENTRANK.INC(Raw_Data!$G$2:$G$60, Raw_Data!G15)</f>
        <v>0.27</v>
      </c>
      <c r="H15">
        <f>_xlfn.PERCENTRANK.INC(Raw_Data!$H$2:$H$60, Raw_Data!H15)</f>
        <v>0.97899999999999998</v>
      </c>
      <c r="I15">
        <f>_xlfn.PERCENTRANK.INC(Raw_Data!$I$2:$I$60, Raw_Data!I15)</f>
        <v>0.22900000000000001</v>
      </c>
      <c r="J15">
        <f>_xlfn.PERCENTRANK.INC(Raw_Data!$J$2:$J$60, Raw_Data!J15)</f>
        <v>0.02</v>
      </c>
      <c r="K15">
        <f>_xlfn.PERCENTRANK.INC(Raw_Data!$K$2:$K$60, Raw_Data!K15)</f>
        <v>4.1000000000000002E-2</v>
      </c>
      <c r="L15">
        <f>_xlfn.PERCENTRANK.INC(Raw_Data!$L$2:$L$60, Raw_Data!L15)</f>
        <v>0.81200000000000006</v>
      </c>
      <c r="M15">
        <f>_xlfn.PERCENTRANK.INC(Raw_Data!$M$2:$M$60, Raw_Data!M15)</f>
        <v>0.02</v>
      </c>
      <c r="N15">
        <f>Raw_Data!N15</f>
        <v>15.8</v>
      </c>
      <c r="O15">
        <f>Raw_Data!O15</f>
        <v>-1.4</v>
      </c>
      <c r="P15">
        <f>_xlfn.PERCENTRANK.INC(Raw_Data!$P$2:$P$60, Raw_Data!P15)</f>
        <v>0.83299999999999996</v>
      </c>
      <c r="Q15">
        <f>_xlfn.PERCENTRANK.INC(Raw_Data!$Q$2:$Q$60, Raw_Data!Q15)</f>
        <v>0.875</v>
      </c>
      <c r="R15">
        <f>_xlfn.PERCENTRANK.INC(Raw_Data!$R$2:$R$60, Raw_Data!R15)</f>
        <v>0.875</v>
      </c>
      <c r="S15">
        <f>_xlfn.PERCENTRANK.INC(Raw_Data!$S$2:$S$60, Raw_Data!S15)</f>
        <v>0.95799999999999996</v>
      </c>
      <c r="T15">
        <f>_xlfn.PERCENTRANK.INC(Raw_Data!$T$2:$T$60, Raw_Data!T15)</f>
        <v>0.95799999999999996</v>
      </c>
      <c r="U15">
        <f>_xlfn.PERCENTRANK.INC(Raw_Data!$U$2:$U$60, Raw_Data!U15)</f>
        <v>1</v>
      </c>
    </row>
    <row r="16" spans="1:21" x14ac:dyDescent="0.2">
      <c r="A16" t="str">
        <f>Raw_Data!A16</f>
        <v>Anthony Gordon</v>
      </c>
      <c r="B16" t="str">
        <f>Raw_Data!B16</f>
        <v>Newcastle Utd</v>
      </c>
      <c r="C16">
        <f>Raw_Data!C16</f>
        <v>22</v>
      </c>
      <c r="D16" s="10">
        <f>Raw_Data!D16</f>
        <v>2890</v>
      </c>
      <c r="E16">
        <f>_xlfn.PERCENTRANK.INC(Raw_Data!$E$2:$E$60, Raw_Data!E16)</f>
        <v>0.437</v>
      </c>
      <c r="F16">
        <f>_xlfn.PERCENTRANK.INC(Raw_Data!$F$2:$F$60, Raw_Data!F16)</f>
        <v>0.35399999999999998</v>
      </c>
      <c r="G16">
        <f>_xlfn.PERCENTRANK.INC(Raw_Data!$G$2:$G$60, Raw_Data!G16)</f>
        <v>0.27</v>
      </c>
      <c r="H16">
        <f>_xlfn.PERCENTRANK.INC(Raw_Data!$H$2:$H$60, Raw_Data!H16)</f>
        <v>0.33300000000000002</v>
      </c>
      <c r="I16">
        <f>_xlfn.PERCENTRANK.INC(Raw_Data!$I$2:$I$60, Raw_Data!I16)</f>
        <v>0.66600000000000004</v>
      </c>
      <c r="J16">
        <f>_xlfn.PERCENTRANK.INC(Raw_Data!$J$2:$J$60, Raw_Data!J16)</f>
        <v>0.33300000000000002</v>
      </c>
      <c r="K16">
        <f>_xlfn.PERCENTRANK.INC(Raw_Data!$K$2:$K$60, Raw_Data!K16)</f>
        <v>0.104</v>
      </c>
      <c r="L16">
        <f>_xlfn.PERCENTRANK.INC(Raw_Data!$L$2:$L$60, Raw_Data!L16)</f>
        <v>0.91600000000000004</v>
      </c>
      <c r="M16">
        <f>_xlfn.PERCENTRANK.INC(Raw_Data!$M$2:$M$60, Raw_Data!M16)</f>
        <v>0.375</v>
      </c>
      <c r="N16">
        <f>Raw_Data!N16</f>
        <v>17.3</v>
      </c>
      <c r="O16">
        <f>Raw_Data!O16</f>
        <v>0.8</v>
      </c>
      <c r="P16">
        <f>_xlfn.PERCENTRANK.INC(Raw_Data!$P$2:$P$60, Raw_Data!P16)</f>
        <v>0.60399999999999998</v>
      </c>
      <c r="Q16">
        <f>_xlfn.PERCENTRANK.INC(Raw_Data!$Q$2:$Q$60, Raw_Data!Q16)</f>
        <v>0.91600000000000004</v>
      </c>
      <c r="R16">
        <f>_xlfn.PERCENTRANK.INC(Raw_Data!$R$2:$R$60, Raw_Data!R16)</f>
        <v>0.81200000000000006</v>
      </c>
      <c r="S16">
        <f>_xlfn.PERCENTRANK.INC(Raw_Data!$S$2:$S$60, Raw_Data!S16)</f>
        <v>0.83299999999999996</v>
      </c>
      <c r="T16">
        <f>_xlfn.PERCENTRANK.INC(Raw_Data!$T$2:$T$60, Raw_Data!T16)</f>
        <v>0.79100000000000004</v>
      </c>
      <c r="U16">
        <f>_xlfn.PERCENTRANK.INC(Raw_Data!$U$2:$U$60, Raw_Data!U16)</f>
        <v>0.81200000000000006</v>
      </c>
    </row>
    <row r="17" spans="1:21" x14ac:dyDescent="0.2">
      <c r="A17" t="str">
        <f>Raw_Data!A17</f>
        <v>Erling Haaland</v>
      </c>
      <c r="B17" t="str">
        <f>Raw_Data!B17</f>
        <v>Manchester City</v>
      </c>
      <c r="C17">
        <f>Raw_Data!C17</f>
        <v>23</v>
      </c>
      <c r="D17" s="10">
        <f>Raw_Data!D17</f>
        <v>2552</v>
      </c>
      <c r="E17">
        <f>_xlfn.PERCENTRANK.INC(Raw_Data!$E$2:$E$60, Raw_Data!E17)</f>
        <v>0.95799999999999996</v>
      </c>
      <c r="F17">
        <f>_xlfn.PERCENTRANK.INC(Raw_Data!$F$2:$F$60, Raw_Data!F17)</f>
        <v>1</v>
      </c>
      <c r="G17">
        <f>_xlfn.PERCENTRANK.INC(Raw_Data!$G$2:$G$60, Raw_Data!G17)</f>
        <v>1</v>
      </c>
      <c r="H17">
        <f>_xlfn.PERCENTRANK.INC(Raw_Data!$H$2:$H$60, Raw_Data!H17)</f>
        <v>0.68700000000000006</v>
      </c>
      <c r="I17">
        <f>_xlfn.PERCENTRANK.INC(Raw_Data!$I$2:$I$60, Raw_Data!I17)</f>
        <v>0.875</v>
      </c>
      <c r="J17">
        <f>_xlfn.PERCENTRANK.INC(Raw_Data!$J$2:$J$60, Raw_Data!J17)</f>
        <v>0.91600000000000004</v>
      </c>
      <c r="K17">
        <f>_xlfn.PERCENTRANK.INC(Raw_Data!$K$2:$K$60, Raw_Data!K17)</f>
        <v>0.625</v>
      </c>
      <c r="L17">
        <f>_xlfn.PERCENTRANK.INC(Raw_Data!$L$2:$L$60, Raw_Data!L17)</f>
        <v>0.25</v>
      </c>
      <c r="M17">
        <f>_xlfn.PERCENTRANK.INC(Raw_Data!$M$2:$M$60, Raw_Data!M17)</f>
        <v>0.72899999999999998</v>
      </c>
      <c r="N17">
        <f>Raw_Data!N17</f>
        <v>11.9</v>
      </c>
      <c r="O17">
        <f>Raw_Data!O17</f>
        <v>-2.2000000000000002</v>
      </c>
      <c r="P17">
        <f>_xlfn.PERCENTRANK.INC(Raw_Data!$P$2:$P$60, Raw_Data!P17)</f>
        <v>0</v>
      </c>
      <c r="Q17">
        <f>_xlfn.PERCENTRANK.INC(Raw_Data!$Q$2:$Q$60, Raw_Data!Q17)</f>
        <v>0.54100000000000004</v>
      </c>
      <c r="R17">
        <f>_xlfn.PERCENTRANK.INC(Raw_Data!$R$2:$R$60, Raw_Data!R17)</f>
        <v>0.39500000000000002</v>
      </c>
      <c r="S17">
        <f>_xlfn.PERCENTRANK.INC(Raw_Data!$S$2:$S$60, Raw_Data!S17)</f>
        <v>0.187</v>
      </c>
      <c r="T17">
        <f>_xlfn.PERCENTRANK.INC(Raw_Data!$T$2:$T$60, Raw_Data!T17)</f>
        <v>6.2E-2</v>
      </c>
      <c r="U17">
        <f>_xlfn.PERCENTRANK.INC(Raw_Data!$U$2:$U$60, Raw_Data!U17)</f>
        <v>0.41599999999999998</v>
      </c>
    </row>
    <row r="18" spans="1:21" x14ac:dyDescent="0.2">
      <c r="A18" t="str">
        <f>Raw_Data!A18</f>
        <v>Son Heung-min</v>
      </c>
      <c r="B18" t="str">
        <f>Raw_Data!B18</f>
        <v>Tottenham</v>
      </c>
      <c r="C18">
        <f>Raw_Data!C18</f>
        <v>31</v>
      </c>
      <c r="D18" s="10">
        <f>Raw_Data!D18</f>
        <v>2934</v>
      </c>
      <c r="E18">
        <f>_xlfn.PERCENTRANK.INC(Raw_Data!$E$2:$E$60, Raw_Data!E18)</f>
        <v>0.5</v>
      </c>
      <c r="F18">
        <f>_xlfn.PERCENTRANK.INC(Raw_Data!$F$2:$F$60, Raw_Data!F18)</f>
        <v>0.437</v>
      </c>
      <c r="G18">
        <f>_xlfn.PERCENTRANK.INC(Raw_Data!$G$2:$G$60, Raw_Data!G18)</f>
        <v>0.375</v>
      </c>
      <c r="H18">
        <f>_xlfn.PERCENTRANK.INC(Raw_Data!$H$2:$H$60, Raw_Data!H18)</f>
        <v>0.70799999999999996</v>
      </c>
      <c r="I18">
        <f>_xlfn.PERCENTRANK.INC(Raw_Data!$I$2:$I$60, Raw_Data!I18)</f>
        <v>0.14499999999999999</v>
      </c>
      <c r="J18">
        <f>_xlfn.PERCENTRANK.INC(Raw_Data!$J$2:$J$60, Raw_Data!J18)</f>
        <v>8.3000000000000004E-2</v>
      </c>
      <c r="K18">
        <f>_xlfn.PERCENTRANK.INC(Raw_Data!$K$2:$K$60, Raw_Data!K18)</f>
        <v>0.02</v>
      </c>
      <c r="L18">
        <f>_xlfn.PERCENTRANK.INC(Raw_Data!$L$2:$L$60, Raw_Data!L18)</f>
        <v>0.29099999999999998</v>
      </c>
      <c r="M18">
        <f>_xlfn.PERCENTRANK.INC(Raw_Data!$M$2:$M$60, Raw_Data!M18)</f>
        <v>0.77</v>
      </c>
      <c r="N18">
        <f>Raw_Data!N18</f>
        <v>15.5</v>
      </c>
      <c r="O18">
        <f>Raw_Data!O18</f>
        <v>5</v>
      </c>
      <c r="P18">
        <f>_xlfn.PERCENTRANK.INC(Raw_Data!$P$2:$P$60, Raw_Data!P18)</f>
        <v>0.75</v>
      </c>
      <c r="Q18">
        <f>_xlfn.PERCENTRANK.INC(Raw_Data!$Q$2:$Q$60, Raw_Data!Q18)</f>
        <v>0.97899999999999998</v>
      </c>
      <c r="R18">
        <f>_xlfn.PERCENTRANK.INC(Raw_Data!$R$2:$R$60, Raw_Data!R18)</f>
        <v>0.93700000000000006</v>
      </c>
      <c r="S18">
        <f>_xlfn.PERCENTRANK.INC(Raw_Data!$S$2:$S$60, Raw_Data!S18)</f>
        <v>0.70799999999999996</v>
      </c>
      <c r="T18">
        <f>_xlfn.PERCENTRANK.INC(Raw_Data!$T$2:$T$60, Raw_Data!T18)</f>
        <v>0.625</v>
      </c>
      <c r="U18">
        <f>_xlfn.PERCENTRANK.INC(Raw_Data!$U$2:$U$60, Raw_Data!U18)</f>
        <v>0.875</v>
      </c>
    </row>
    <row r="19" spans="1:21" x14ac:dyDescent="0.2">
      <c r="A19" t="str">
        <f>Raw_Data!A19</f>
        <v>Rasmus Højlund</v>
      </c>
      <c r="B19" t="str">
        <f>Raw_Data!B19</f>
        <v>Manchester Utd</v>
      </c>
      <c r="C19">
        <f>Raw_Data!C19</f>
        <v>20</v>
      </c>
      <c r="D19" s="10">
        <f>Raw_Data!D19</f>
        <v>2158</v>
      </c>
      <c r="E19">
        <f>_xlfn.PERCENTRANK.INC(Raw_Data!$E$2:$E$60, Raw_Data!E19)</f>
        <v>0</v>
      </c>
      <c r="F19">
        <f>_xlfn.PERCENTRANK.INC(Raw_Data!$F$2:$F$60, Raw_Data!F19)</f>
        <v>0.35399999999999998</v>
      </c>
      <c r="G19">
        <f>_xlfn.PERCENTRANK.INC(Raw_Data!$G$2:$G$60, Raw_Data!G19)</f>
        <v>0.375</v>
      </c>
      <c r="H19">
        <f>_xlfn.PERCENTRANK.INC(Raw_Data!$H$2:$H$60, Raw_Data!H19)</f>
        <v>0.16600000000000001</v>
      </c>
      <c r="I19">
        <f>_xlfn.PERCENTRANK.INC(Raw_Data!$I$2:$I$60, Raw_Data!I19)</f>
        <v>0.16600000000000001</v>
      </c>
      <c r="J19">
        <f>_xlfn.PERCENTRANK.INC(Raw_Data!$J$2:$J$60, Raw_Data!J19)</f>
        <v>0.14499999999999999</v>
      </c>
      <c r="K19">
        <f>_xlfn.PERCENTRANK.INC(Raw_Data!$K$2:$K$60, Raw_Data!K19)</f>
        <v>0.54100000000000004</v>
      </c>
      <c r="L19">
        <f>_xlfn.PERCENTRANK.INC(Raw_Data!$L$2:$L$60, Raw_Data!L19)</f>
        <v>0.33300000000000002</v>
      </c>
      <c r="M19">
        <f>_xlfn.PERCENTRANK.INC(Raw_Data!$M$2:$M$60, Raw_Data!M19)</f>
        <v>0.91600000000000004</v>
      </c>
      <c r="N19">
        <f>Raw_Data!N19</f>
        <v>11.6</v>
      </c>
      <c r="O19">
        <f>Raw_Data!O19</f>
        <v>2.4</v>
      </c>
      <c r="P19">
        <f>_xlfn.PERCENTRANK.INC(Raw_Data!$P$2:$P$60, Raw_Data!P19)</f>
        <v>4.1000000000000002E-2</v>
      </c>
      <c r="Q19">
        <f>_xlfn.PERCENTRANK.INC(Raw_Data!$Q$2:$Q$60, Raw_Data!Q19)</f>
        <v>0.52</v>
      </c>
      <c r="R19">
        <f>_xlfn.PERCENTRANK.INC(Raw_Data!$R$2:$R$60, Raw_Data!R19)</f>
        <v>0.33300000000000002</v>
      </c>
      <c r="S19">
        <f>_xlfn.PERCENTRANK.INC(Raw_Data!$S$2:$S$60, Raw_Data!S19)</f>
        <v>0.29099999999999998</v>
      </c>
      <c r="T19">
        <f>_xlfn.PERCENTRANK.INC(Raw_Data!$T$2:$T$60, Raw_Data!T19)</f>
        <v>0.35399999999999998</v>
      </c>
      <c r="U19">
        <f>_xlfn.PERCENTRANK.INC(Raw_Data!$U$2:$U$60, Raw_Data!U19)</f>
        <v>0.27</v>
      </c>
    </row>
    <row r="20" spans="1:21" x14ac:dyDescent="0.2">
      <c r="A20" t="str">
        <f>Raw_Data!A20</f>
        <v>Alexander Isak</v>
      </c>
      <c r="B20" t="str">
        <f>Raw_Data!B20</f>
        <v>Newcastle Utd</v>
      </c>
      <c r="C20">
        <f>Raw_Data!C20</f>
        <v>23</v>
      </c>
      <c r="D20" s="10">
        <f>Raw_Data!D20</f>
        <v>2255</v>
      </c>
      <c r="E20">
        <f>_xlfn.PERCENTRANK.INC(Raw_Data!$E$2:$E$60, Raw_Data!E20)</f>
        <v>0.60399999999999998</v>
      </c>
      <c r="F20">
        <f>_xlfn.PERCENTRANK.INC(Raw_Data!$F$2:$F$60, Raw_Data!F20)</f>
        <v>0.97899999999999998</v>
      </c>
      <c r="G20">
        <f>_xlfn.PERCENTRANK.INC(Raw_Data!$G$2:$G$60, Raw_Data!G20)</f>
        <v>0.93700000000000006</v>
      </c>
      <c r="H20">
        <f>_xlfn.PERCENTRANK.INC(Raw_Data!$H$2:$H$60, Raw_Data!H20)</f>
        <v>0.56200000000000006</v>
      </c>
      <c r="I20">
        <f>_xlfn.PERCENTRANK.INC(Raw_Data!$I$2:$I$60, Raw_Data!I20)</f>
        <v>0.58299999999999996</v>
      </c>
      <c r="J20">
        <f>_xlfn.PERCENTRANK.INC(Raw_Data!$J$2:$J$60, Raw_Data!J20)</f>
        <v>4.1000000000000002E-2</v>
      </c>
      <c r="K20">
        <f>_xlfn.PERCENTRANK.INC(Raw_Data!$K$2:$K$60, Raw_Data!K20)</f>
        <v>0.20799999999999999</v>
      </c>
      <c r="L20">
        <f>_xlfn.PERCENTRANK.INC(Raw_Data!$L$2:$L$60, Raw_Data!L20)</f>
        <v>0</v>
      </c>
      <c r="M20">
        <f>_xlfn.PERCENTRANK.INC(Raw_Data!$M$2:$M$60, Raw_Data!M20)</f>
        <v>0.875</v>
      </c>
      <c r="N20">
        <f>Raw_Data!N20</f>
        <v>14.5</v>
      </c>
      <c r="O20">
        <f>Raw_Data!O20</f>
        <v>0.7</v>
      </c>
      <c r="P20">
        <f>_xlfn.PERCENTRANK.INC(Raw_Data!$P$2:$P$60, Raw_Data!P20)</f>
        <v>0.125</v>
      </c>
      <c r="Q20">
        <f>_xlfn.PERCENTRANK.INC(Raw_Data!$Q$2:$Q$60, Raw_Data!Q20)</f>
        <v>0.5</v>
      </c>
      <c r="R20">
        <f>_xlfn.PERCENTRANK.INC(Raw_Data!$R$2:$R$60, Raw_Data!R20)</f>
        <v>0.41599999999999998</v>
      </c>
      <c r="S20">
        <f>_xlfn.PERCENTRANK.INC(Raw_Data!$S$2:$S$60, Raw_Data!S20)</f>
        <v>0.56200000000000006</v>
      </c>
      <c r="T20">
        <f>_xlfn.PERCENTRANK.INC(Raw_Data!$T$2:$T$60, Raw_Data!T20)</f>
        <v>0.5</v>
      </c>
      <c r="U20">
        <f>_xlfn.PERCENTRANK.INC(Raw_Data!$U$2:$U$60, Raw_Data!U20)</f>
        <v>0.66600000000000004</v>
      </c>
    </row>
    <row r="21" spans="1:21" x14ac:dyDescent="0.2">
      <c r="A21" t="str">
        <f>Raw_Data!A21</f>
        <v>Nicolas Jackson</v>
      </c>
      <c r="B21" t="str">
        <f>Raw_Data!B21</f>
        <v>Chelsea</v>
      </c>
      <c r="C21">
        <f>Raw_Data!C21</f>
        <v>22</v>
      </c>
      <c r="D21" s="10">
        <f>Raw_Data!D21</f>
        <v>2799</v>
      </c>
      <c r="E21">
        <f>_xlfn.PERCENTRANK.INC(Raw_Data!$E$2:$E$60, Raw_Data!E21)</f>
        <v>0.52</v>
      </c>
      <c r="F21">
        <f>_xlfn.PERCENTRANK.INC(Raw_Data!$F$2:$F$60, Raw_Data!F21)</f>
        <v>0.875</v>
      </c>
      <c r="G21">
        <f>_xlfn.PERCENTRANK.INC(Raw_Data!$G$2:$G$60, Raw_Data!G21)</f>
        <v>0.91600000000000004</v>
      </c>
      <c r="H21">
        <f>_xlfn.PERCENTRANK.INC(Raw_Data!$H$2:$H$60, Raw_Data!H21)</f>
        <v>0.39500000000000002</v>
      </c>
      <c r="I21">
        <f>_xlfn.PERCENTRANK.INC(Raw_Data!$I$2:$I$60, Raw_Data!I21)</f>
        <v>0.64500000000000002</v>
      </c>
      <c r="J21">
        <f>_xlfn.PERCENTRANK.INC(Raw_Data!$J$2:$J$60, Raw_Data!J21)</f>
        <v>0.41599999999999998</v>
      </c>
      <c r="K21">
        <f>_xlfn.PERCENTRANK.INC(Raw_Data!$K$2:$K$60, Raw_Data!K21)</f>
        <v>0.58299999999999996</v>
      </c>
      <c r="L21">
        <f>_xlfn.PERCENTRANK.INC(Raw_Data!$L$2:$L$60, Raw_Data!L21)</f>
        <v>0.39500000000000002</v>
      </c>
      <c r="M21">
        <f>_xlfn.PERCENTRANK.INC(Raw_Data!$M$2:$M$60, Raw_Data!M21)</f>
        <v>0.83299999999999996</v>
      </c>
      <c r="N21">
        <f>Raw_Data!N21</f>
        <v>12.6</v>
      </c>
      <c r="O21">
        <f>Raw_Data!O21</f>
        <v>-4.5999999999999996</v>
      </c>
      <c r="P21">
        <f>_xlfn.PERCENTRANK.INC(Raw_Data!$P$2:$P$60, Raw_Data!P21)</f>
        <v>0.39500000000000002</v>
      </c>
      <c r="Q21">
        <f>_xlfn.PERCENTRANK.INC(Raw_Data!$Q$2:$Q$60, Raw_Data!Q21)</f>
        <v>0.75</v>
      </c>
      <c r="R21">
        <f>_xlfn.PERCENTRANK.INC(Raw_Data!$R$2:$R$60, Raw_Data!R21)</f>
        <v>0.75</v>
      </c>
      <c r="S21">
        <f>_xlfn.PERCENTRANK.INC(Raw_Data!$S$2:$S$60, Raw_Data!S21)</f>
        <v>0.437</v>
      </c>
      <c r="T21">
        <f>_xlfn.PERCENTRANK.INC(Raw_Data!$T$2:$T$60, Raw_Data!T21)</f>
        <v>0.52</v>
      </c>
      <c r="U21">
        <f>_xlfn.PERCENTRANK.INC(Raw_Data!$U$2:$U$60, Raw_Data!U21)</f>
        <v>0.60399999999999998</v>
      </c>
    </row>
    <row r="22" spans="1:21" x14ac:dyDescent="0.2">
      <c r="A22" t="str">
        <f>Raw_Data!A22</f>
        <v>Gabriel Jesus</v>
      </c>
      <c r="B22" t="str">
        <f>Raw_Data!B22</f>
        <v>Arsenal</v>
      </c>
      <c r="C22">
        <f>Raw_Data!C22</f>
        <v>26</v>
      </c>
      <c r="D22" s="10">
        <f>Raw_Data!D22</f>
        <v>1478</v>
      </c>
      <c r="E22">
        <f>_xlfn.PERCENTRANK.INC(Raw_Data!$E$2:$E$60, Raw_Data!E22)</f>
        <v>0.85399999999999998</v>
      </c>
      <c r="F22">
        <f>_xlfn.PERCENTRANK.INC(Raw_Data!$F$2:$F$60, Raw_Data!F22)</f>
        <v>0.5</v>
      </c>
      <c r="G22">
        <f>_xlfn.PERCENTRANK.INC(Raw_Data!$G$2:$G$60, Raw_Data!G22)</f>
        <v>0.625</v>
      </c>
      <c r="H22">
        <f>_xlfn.PERCENTRANK.INC(Raw_Data!$H$2:$H$60, Raw_Data!H22)</f>
        <v>0.93700000000000006</v>
      </c>
      <c r="I22">
        <f>_xlfn.PERCENTRANK.INC(Raw_Data!$I$2:$I$60, Raw_Data!I22)</f>
        <v>0.187</v>
      </c>
      <c r="J22">
        <f>_xlfn.PERCENTRANK.INC(Raw_Data!$J$2:$J$60, Raw_Data!J22)</f>
        <v>0.16600000000000001</v>
      </c>
      <c r="K22">
        <f>_xlfn.PERCENTRANK.INC(Raw_Data!$K$2:$K$60, Raw_Data!K22)</f>
        <v>0.47899999999999998</v>
      </c>
      <c r="L22">
        <f>_xlfn.PERCENTRANK.INC(Raw_Data!$L$2:$L$60, Raw_Data!L22)</f>
        <v>0.89500000000000002</v>
      </c>
      <c r="M22">
        <f>_xlfn.PERCENTRANK.INC(Raw_Data!$M$2:$M$60, Raw_Data!M22)</f>
        <v>0.27</v>
      </c>
      <c r="N22">
        <f>Raw_Data!N22</f>
        <v>12.2</v>
      </c>
      <c r="O22">
        <f>Raw_Data!O22</f>
        <v>-2.2999999999999998</v>
      </c>
      <c r="P22">
        <f>_xlfn.PERCENTRANK.INC(Raw_Data!$P$2:$P$60, Raw_Data!P22)</f>
        <v>0.81200000000000006</v>
      </c>
      <c r="Q22">
        <f>_xlfn.PERCENTRANK.INC(Raw_Data!$Q$2:$Q$60, Raw_Data!Q22)</f>
        <v>0.54100000000000004</v>
      </c>
      <c r="R22">
        <f>_xlfn.PERCENTRANK.INC(Raw_Data!$R$2:$R$60, Raw_Data!R22)</f>
        <v>0.56200000000000006</v>
      </c>
      <c r="S22">
        <f>_xlfn.PERCENTRANK.INC(Raw_Data!$S$2:$S$60, Raw_Data!S22)</f>
        <v>0.47899999999999998</v>
      </c>
      <c r="T22">
        <f>_xlfn.PERCENTRANK.INC(Raw_Data!$T$2:$T$60, Raw_Data!T22)</f>
        <v>0.54100000000000004</v>
      </c>
      <c r="U22">
        <f>_xlfn.PERCENTRANK.INC(Raw_Data!$U$2:$U$60, Raw_Data!U22)</f>
        <v>0.52</v>
      </c>
    </row>
    <row r="23" spans="1:21" x14ac:dyDescent="0.2">
      <c r="A23" t="str">
        <f>Raw_Data!A23</f>
        <v>Raúl Jiménez</v>
      </c>
      <c r="B23" t="str">
        <f>Raw_Data!B23</f>
        <v>Fulham</v>
      </c>
      <c r="C23">
        <f>Raw_Data!C23</f>
        <v>32</v>
      </c>
      <c r="D23" s="10">
        <f>Raw_Data!D23</f>
        <v>1395</v>
      </c>
      <c r="E23">
        <f>_xlfn.PERCENTRANK.INC(Raw_Data!$E$2:$E$60, Raw_Data!E23)</f>
        <v>0.56200000000000006</v>
      </c>
      <c r="F23">
        <f>_xlfn.PERCENTRANK.INC(Raw_Data!$F$2:$F$60, Raw_Data!F23)</f>
        <v>0.39500000000000002</v>
      </c>
      <c r="G23">
        <f>_xlfn.PERCENTRANK.INC(Raw_Data!$G$2:$G$60, Raw_Data!G23)</f>
        <v>0.41599999999999998</v>
      </c>
      <c r="H23">
        <f>_xlfn.PERCENTRANK.INC(Raw_Data!$H$2:$H$60, Raw_Data!H23)</f>
        <v>0.27</v>
      </c>
      <c r="I23">
        <f>_xlfn.PERCENTRANK.INC(Raw_Data!$I$2:$I$60, Raw_Data!I23)</f>
        <v>0.83299999999999996</v>
      </c>
      <c r="J23">
        <f>_xlfn.PERCENTRANK.INC(Raw_Data!$J$2:$J$60, Raw_Data!J23)</f>
        <v>0.77</v>
      </c>
      <c r="K23">
        <f>_xlfn.PERCENTRANK.INC(Raw_Data!$K$2:$K$60, Raw_Data!K23)</f>
        <v>0.875</v>
      </c>
      <c r="L23">
        <f>_xlfn.PERCENTRANK.INC(Raw_Data!$L$2:$L$60, Raw_Data!L23)</f>
        <v>0.45800000000000002</v>
      </c>
      <c r="M23">
        <f>_xlfn.PERCENTRANK.INC(Raw_Data!$M$2:$M$60, Raw_Data!M23)</f>
        <v>0.54100000000000004</v>
      </c>
      <c r="N23">
        <f>Raw_Data!N23</f>
        <v>14.7</v>
      </c>
      <c r="O23">
        <f>Raw_Data!O23</f>
        <v>1.8</v>
      </c>
      <c r="P23">
        <f>_xlfn.PERCENTRANK.INC(Raw_Data!$P$2:$P$60, Raw_Data!P23)</f>
        <v>0.47899999999999998</v>
      </c>
      <c r="Q23">
        <f>_xlfn.PERCENTRANK.INC(Raw_Data!$Q$2:$Q$60, Raw_Data!Q23)</f>
        <v>0.104</v>
      </c>
      <c r="R23">
        <f>_xlfn.PERCENTRANK.INC(Raw_Data!$R$2:$R$60, Raw_Data!R23)</f>
        <v>0.16600000000000001</v>
      </c>
      <c r="S23">
        <f>_xlfn.PERCENTRANK.INC(Raw_Data!$S$2:$S$60, Raw_Data!S23)</f>
        <v>6.2E-2</v>
      </c>
      <c r="T23">
        <f>_xlfn.PERCENTRANK.INC(Raw_Data!$T$2:$T$60, Raw_Data!T23)</f>
        <v>0.16600000000000001</v>
      </c>
      <c r="U23">
        <f>_xlfn.PERCENTRANK.INC(Raw_Data!$U$2:$U$60, Raw_Data!U23)</f>
        <v>4.1000000000000002E-2</v>
      </c>
    </row>
    <row r="24" spans="1:21" x14ac:dyDescent="0.2">
      <c r="A24" t="str">
        <f>Raw_Data!A24</f>
        <v>Brennan Johnson</v>
      </c>
      <c r="B24" t="str">
        <f>Raw_Data!B24</f>
        <v>Tottenham</v>
      </c>
      <c r="C24">
        <f>Raw_Data!C24</f>
        <v>22</v>
      </c>
      <c r="D24" s="10">
        <f>Raw_Data!D24</f>
        <v>2085</v>
      </c>
      <c r="E24">
        <f>_xlfn.PERCENTRANK.INC(Raw_Data!$E$2:$E$60, Raw_Data!E24)</f>
        <v>0.22900000000000001</v>
      </c>
      <c r="F24">
        <f>_xlfn.PERCENTRANK.INC(Raw_Data!$F$2:$F$60, Raw_Data!F24)</f>
        <v>0.66600000000000004</v>
      </c>
      <c r="G24">
        <f>_xlfn.PERCENTRANK.INC(Raw_Data!$G$2:$G$60, Raw_Data!G24)</f>
        <v>0.72899999999999998</v>
      </c>
      <c r="H24">
        <f>_xlfn.PERCENTRANK.INC(Raw_Data!$H$2:$H$60, Raw_Data!H24)</f>
        <v>0.75</v>
      </c>
      <c r="I24">
        <f>_xlfn.PERCENTRANK.INC(Raw_Data!$I$2:$I$60, Raw_Data!I24)</f>
        <v>4.1000000000000002E-2</v>
      </c>
      <c r="J24">
        <f>_xlfn.PERCENTRANK.INC(Raw_Data!$J$2:$J$60, Raw_Data!J24)</f>
        <v>8.3000000000000004E-2</v>
      </c>
      <c r="K24">
        <f>_xlfn.PERCENTRANK.INC(Raw_Data!$K$2:$K$60, Raw_Data!K24)</f>
        <v>8.3000000000000004E-2</v>
      </c>
      <c r="L24">
        <f>_xlfn.PERCENTRANK.INC(Raw_Data!$L$2:$L$60, Raw_Data!L24)</f>
        <v>0.33300000000000002</v>
      </c>
      <c r="M24">
        <f>_xlfn.PERCENTRANK.INC(Raw_Data!$M$2:$M$60, Raw_Data!M24)</f>
        <v>0.437</v>
      </c>
      <c r="N24">
        <f>Raw_Data!N24</f>
        <v>12.9</v>
      </c>
      <c r="O24">
        <f>Raw_Data!O24</f>
        <v>-5.3</v>
      </c>
      <c r="P24">
        <f>_xlfn.PERCENTRANK.INC(Raw_Data!$P$2:$P$60, Raw_Data!P24)</f>
        <v>0.625</v>
      </c>
      <c r="Q24">
        <f>_xlfn.PERCENTRANK.INC(Raw_Data!$Q$2:$Q$60, Raw_Data!Q24)</f>
        <v>0.83299999999999996</v>
      </c>
      <c r="R24">
        <f>_xlfn.PERCENTRANK.INC(Raw_Data!$R$2:$R$60, Raw_Data!R24)</f>
        <v>0.89500000000000002</v>
      </c>
      <c r="S24">
        <f>_xlfn.PERCENTRANK.INC(Raw_Data!$S$2:$S$60, Raw_Data!S24)</f>
        <v>0.79100000000000004</v>
      </c>
      <c r="T24">
        <f>_xlfn.PERCENTRANK.INC(Raw_Data!$T$2:$T$60, Raw_Data!T24)</f>
        <v>0.60399999999999998</v>
      </c>
      <c r="U24">
        <f>_xlfn.PERCENTRANK.INC(Raw_Data!$U$2:$U$60, Raw_Data!U24)</f>
        <v>0.77</v>
      </c>
    </row>
    <row r="25" spans="1:21" x14ac:dyDescent="0.2">
      <c r="A25" t="str">
        <f>Raw_Data!A25</f>
        <v>Diogo Jota</v>
      </c>
      <c r="B25" t="str">
        <f>Raw_Data!B25</f>
        <v>Liverpool</v>
      </c>
      <c r="C25">
        <f>Raw_Data!C25</f>
        <v>26</v>
      </c>
      <c r="D25" s="10">
        <f>Raw_Data!D25</f>
        <v>1145</v>
      </c>
      <c r="E25">
        <f>_xlfn.PERCENTRANK.INC(Raw_Data!$E$2:$E$60, Raw_Data!E25)</f>
        <v>0.81200000000000006</v>
      </c>
      <c r="F25">
        <f>_xlfn.PERCENTRANK.INC(Raw_Data!$F$2:$F$60, Raw_Data!F25)</f>
        <v>0.625</v>
      </c>
      <c r="G25">
        <f>_xlfn.PERCENTRANK.INC(Raw_Data!$G$2:$G$60, Raw_Data!G25)</f>
        <v>0.70799999999999996</v>
      </c>
      <c r="H25">
        <f>_xlfn.PERCENTRANK.INC(Raw_Data!$H$2:$H$60, Raw_Data!H25)</f>
        <v>0.89500000000000002</v>
      </c>
      <c r="I25">
        <f>_xlfn.PERCENTRANK.INC(Raw_Data!$I$2:$I$60, Raw_Data!I25)</f>
        <v>0.125</v>
      </c>
      <c r="J25">
        <f>_xlfn.PERCENTRANK.INC(Raw_Data!$J$2:$J$60, Raw_Data!J25)</f>
        <v>0.27</v>
      </c>
      <c r="K25">
        <f>_xlfn.PERCENTRANK.INC(Raw_Data!$K$2:$K$60, Raw_Data!K25)</f>
        <v>0.60399999999999998</v>
      </c>
      <c r="L25">
        <f>_xlfn.PERCENTRANK.INC(Raw_Data!$L$2:$L$60, Raw_Data!L25)</f>
        <v>0.66600000000000004</v>
      </c>
      <c r="M25">
        <f>_xlfn.PERCENTRANK.INC(Raw_Data!$M$2:$M$60, Raw_Data!M25)</f>
        <v>0.79100000000000004</v>
      </c>
      <c r="N25">
        <f>Raw_Data!N25</f>
        <v>12.3</v>
      </c>
      <c r="O25">
        <f>Raw_Data!O25</f>
        <v>4.7</v>
      </c>
      <c r="P25">
        <f>_xlfn.PERCENTRANK.INC(Raw_Data!$P$2:$P$60, Raw_Data!P25)</f>
        <v>0.72899999999999998</v>
      </c>
      <c r="Q25">
        <f>_xlfn.PERCENTRANK.INC(Raw_Data!$Q$2:$Q$60, Raw_Data!Q25)</f>
        <v>0.35399999999999998</v>
      </c>
      <c r="R25">
        <f>_xlfn.PERCENTRANK.INC(Raw_Data!$R$2:$R$60, Raw_Data!R25)</f>
        <v>0.33300000000000002</v>
      </c>
      <c r="S25">
        <f>_xlfn.PERCENTRANK.INC(Raw_Data!$S$2:$S$60, Raw_Data!S25)</f>
        <v>0.81200000000000006</v>
      </c>
      <c r="T25">
        <f>_xlfn.PERCENTRANK.INC(Raw_Data!$T$2:$T$60, Raw_Data!T25)</f>
        <v>0.70799999999999996</v>
      </c>
      <c r="U25">
        <f>_xlfn.PERCENTRANK.INC(Raw_Data!$U$2:$U$60, Raw_Data!U25)</f>
        <v>0.47899999999999998</v>
      </c>
    </row>
    <row r="26" spans="1:21" x14ac:dyDescent="0.2">
      <c r="A26" t="str">
        <f>Raw_Data!A26</f>
        <v>Noni Madueke</v>
      </c>
      <c r="B26" t="str">
        <f>Raw_Data!B26</f>
        <v>Chelsea</v>
      </c>
      <c r="C26">
        <f>Raw_Data!C26</f>
        <v>21</v>
      </c>
      <c r="D26" s="10">
        <f>Raw_Data!D26</f>
        <v>1053</v>
      </c>
      <c r="E26">
        <f>_xlfn.PERCENTRANK.INC(Raw_Data!$E$2:$E$60, Raw_Data!E26)</f>
        <v>0.56200000000000006</v>
      </c>
      <c r="F26">
        <f>_xlfn.PERCENTRANK.INC(Raw_Data!$F$2:$F$60, Raw_Data!F26)</f>
        <v>8.3000000000000004E-2</v>
      </c>
      <c r="G26">
        <f>_xlfn.PERCENTRANK.INC(Raw_Data!$G$2:$G$60, Raw_Data!G26)</f>
        <v>0</v>
      </c>
      <c r="H26">
        <f>_xlfn.PERCENTRANK.INC(Raw_Data!$H$2:$H$60, Raw_Data!H26)</f>
        <v>0.72899999999999998</v>
      </c>
      <c r="I26">
        <f>_xlfn.PERCENTRANK.INC(Raw_Data!$I$2:$I$60, Raw_Data!I26)</f>
        <v>0.20799999999999999</v>
      </c>
      <c r="J26">
        <f>_xlfn.PERCENTRANK.INC(Raw_Data!$J$2:$J$60, Raw_Data!J26)</f>
        <v>0.66600000000000004</v>
      </c>
      <c r="K26">
        <f>_xlfn.PERCENTRANK.INC(Raw_Data!$K$2:$K$60, Raw_Data!K26)</f>
        <v>0.27</v>
      </c>
      <c r="L26">
        <f>_xlfn.PERCENTRANK.INC(Raw_Data!$L$2:$L$60, Raw_Data!L26)</f>
        <v>0.625</v>
      </c>
      <c r="M26">
        <f>_xlfn.PERCENTRANK.INC(Raw_Data!$M$2:$M$60, Raw_Data!M26)</f>
        <v>0.45800000000000002</v>
      </c>
      <c r="N26">
        <f>Raw_Data!N26</f>
        <v>19</v>
      </c>
      <c r="O26">
        <f>Raw_Data!O26</f>
        <v>2.5</v>
      </c>
      <c r="P26">
        <f>_xlfn.PERCENTRANK.INC(Raw_Data!$P$2:$P$60, Raw_Data!P26)</f>
        <v>0.97899999999999998</v>
      </c>
      <c r="Q26">
        <f>_xlfn.PERCENTRANK.INC(Raw_Data!$Q$2:$Q$60, Raw_Data!Q26)</f>
        <v>0.33300000000000002</v>
      </c>
      <c r="R26">
        <f>_xlfn.PERCENTRANK.INC(Raw_Data!$R$2:$R$60, Raw_Data!R26)</f>
        <v>0.47899999999999998</v>
      </c>
      <c r="S26">
        <f>_xlfn.PERCENTRANK.INC(Raw_Data!$S$2:$S$60, Raw_Data!S26)</f>
        <v>0.97899999999999998</v>
      </c>
      <c r="T26">
        <f>_xlfn.PERCENTRANK.INC(Raw_Data!$T$2:$T$60, Raw_Data!T26)</f>
        <v>0.97899999999999998</v>
      </c>
      <c r="U26">
        <f>_xlfn.PERCENTRANK.INC(Raw_Data!$U$2:$U$60, Raw_Data!U26)</f>
        <v>0.66600000000000004</v>
      </c>
    </row>
    <row r="27" spans="1:21" x14ac:dyDescent="0.2">
      <c r="A27" t="str">
        <f>Raw_Data!A27</f>
        <v>Gabriel Martinelli</v>
      </c>
      <c r="B27" t="str">
        <f>Raw_Data!B27</f>
        <v>Arsenal</v>
      </c>
      <c r="C27">
        <f>Raw_Data!C27</f>
        <v>22</v>
      </c>
      <c r="D27" s="10">
        <f>Raw_Data!D27</f>
        <v>2019</v>
      </c>
      <c r="E27">
        <f>_xlfn.PERCENTRANK.INC(Raw_Data!$E$2:$E$60, Raw_Data!E27)</f>
        <v>0.54100000000000004</v>
      </c>
      <c r="F27">
        <f>_xlfn.PERCENTRANK.INC(Raw_Data!$F$2:$F$60, Raw_Data!F27)</f>
        <v>0.29099999999999998</v>
      </c>
      <c r="G27">
        <f>_xlfn.PERCENTRANK.INC(Raw_Data!$G$2:$G$60, Raw_Data!G27)</f>
        <v>0.33300000000000002</v>
      </c>
      <c r="H27">
        <f>_xlfn.PERCENTRANK.INC(Raw_Data!$H$2:$H$60, Raw_Data!H27)</f>
        <v>1</v>
      </c>
      <c r="I27">
        <f>_xlfn.PERCENTRANK.INC(Raw_Data!$I$2:$I$60, Raw_Data!I27)</f>
        <v>0.02</v>
      </c>
      <c r="J27">
        <f>_xlfn.PERCENTRANK.INC(Raw_Data!$J$2:$J$60, Raw_Data!J27)</f>
        <v>0.45800000000000002</v>
      </c>
      <c r="K27">
        <f>_xlfn.PERCENTRANK.INC(Raw_Data!$K$2:$K$60, Raw_Data!K27)</f>
        <v>0.312</v>
      </c>
      <c r="L27">
        <f>_xlfn.PERCENTRANK.INC(Raw_Data!$L$2:$L$60, Raw_Data!L27)</f>
        <v>0.22900000000000001</v>
      </c>
      <c r="M27">
        <f>_xlfn.PERCENTRANK.INC(Raw_Data!$M$2:$M$60, Raw_Data!M27)</f>
        <v>0.27</v>
      </c>
      <c r="N27">
        <f>Raw_Data!N27</f>
        <v>15.6</v>
      </c>
      <c r="O27">
        <f>Raw_Data!O27</f>
        <v>-0.8</v>
      </c>
      <c r="P27">
        <f>_xlfn.PERCENTRANK.INC(Raw_Data!$P$2:$P$60, Raw_Data!P27)</f>
        <v>0.93700000000000006</v>
      </c>
      <c r="Q27">
        <f>_xlfn.PERCENTRANK.INC(Raw_Data!$Q$2:$Q$60, Raw_Data!Q27)</f>
        <v>0.875</v>
      </c>
      <c r="R27">
        <f>_xlfn.PERCENTRANK.INC(Raw_Data!$R$2:$R$60, Raw_Data!R27)</f>
        <v>0.97899999999999998</v>
      </c>
      <c r="S27">
        <f>_xlfn.PERCENTRANK.INC(Raw_Data!$S$2:$S$60, Raw_Data!S27)</f>
        <v>0.93700000000000006</v>
      </c>
      <c r="T27">
        <f>_xlfn.PERCENTRANK.INC(Raw_Data!$T$2:$T$60, Raw_Data!T27)</f>
        <v>0.91600000000000004</v>
      </c>
      <c r="U27">
        <f>_xlfn.PERCENTRANK.INC(Raw_Data!$U$2:$U$60, Raw_Data!U27)</f>
        <v>0.97899999999999998</v>
      </c>
    </row>
    <row r="28" spans="1:21" x14ac:dyDescent="0.2">
      <c r="A28" t="str">
        <f>Raw_Data!A28</f>
        <v>Jean-Philippe Mateta</v>
      </c>
      <c r="B28" t="str">
        <f>Raw_Data!B28</f>
        <v>Crystal Palace</v>
      </c>
      <c r="C28">
        <f>Raw_Data!C28</f>
        <v>26</v>
      </c>
      <c r="D28" s="10">
        <f>Raw_Data!D28</f>
        <v>2282</v>
      </c>
      <c r="E28">
        <f>_xlfn.PERCENTRANK.INC(Raw_Data!$E$2:$E$60, Raw_Data!E28)</f>
        <v>4.1000000000000002E-2</v>
      </c>
      <c r="F28">
        <f>_xlfn.PERCENTRANK.INC(Raw_Data!$F$2:$F$60, Raw_Data!F28)</f>
        <v>0.64500000000000002</v>
      </c>
      <c r="G28">
        <f>_xlfn.PERCENTRANK.INC(Raw_Data!$G$2:$G$60, Raw_Data!G28)</f>
        <v>0.5</v>
      </c>
      <c r="H28">
        <f>_xlfn.PERCENTRANK.INC(Raw_Data!$H$2:$H$60, Raw_Data!H28)</f>
        <v>0.22900000000000001</v>
      </c>
      <c r="I28">
        <f>_xlfn.PERCENTRANK.INC(Raw_Data!$I$2:$I$60, Raw_Data!I28)</f>
        <v>0.312</v>
      </c>
      <c r="J28">
        <f>_xlfn.PERCENTRANK.INC(Raw_Data!$J$2:$J$60, Raw_Data!J28)</f>
        <v>0.72899999999999998</v>
      </c>
      <c r="K28">
        <f>_xlfn.PERCENTRANK.INC(Raw_Data!$K$2:$K$60, Raw_Data!K28)</f>
        <v>0.79100000000000004</v>
      </c>
      <c r="L28">
        <f>_xlfn.PERCENTRANK.INC(Raw_Data!$L$2:$L$60, Raw_Data!L28)</f>
        <v>0.104</v>
      </c>
      <c r="M28">
        <f>_xlfn.PERCENTRANK.INC(Raw_Data!$M$2:$M$60, Raw_Data!M28)</f>
        <v>0.97899999999999998</v>
      </c>
      <c r="N28">
        <f>Raw_Data!N28</f>
        <v>12.7</v>
      </c>
      <c r="O28">
        <f>Raw_Data!O28</f>
        <v>5.0999999999999996</v>
      </c>
      <c r="P28">
        <f>_xlfn.PERCENTRANK.INC(Raw_Data!$P$2:$P$60, Raw_Data!P28)</f>
        <v>0.14499999999999999</v>
      </c>
      <c r="Q28">
        <f>_xlfn.PERCENTRANK.INC(Raw_Data!$Q$2:$Q$60, Raw_Data!Q28)</f>
        <v>0.64500000000000002</v>
      </c>
      <c r="R28">
        <f>_xlfn.PERCENTRANK.INC(Raw_Data!$R$2:$R$60, Raw_Data!R28)</f>
        <v>0.45800000000000002</v>
      </c>
      <c r="S28">
        <f>_xlfn.PERCENTRANK.INC(Raw_Data!$S$2:$S$60, Raw_Data!S28)</f>
        <v>0.16600000000000001</v>
      </c>
      <c r="T28">
        <f>_xlfn.PERCENTRANK.INC(Raw_Data!$T$2:$T$60, Raw_Data!T28)</f>
        <v>0.14499999999999999</v>
      </c>
      <c r="U28">
        <f>_xlfn.PERCENTRANK.INC(Raw_Data!$U$2:$U$60, Raw_Data!U28)</f>
        <v>0.27</v>
      </c>
    </row>
    <row r="29" spans="1:21" x14ac:dyDescent="0.2">
      <c r="A29" t="str">
        <f>Raw_Data!A29</f>
        <v>Neal Maupay</v>
      </c>
      <c r="B29" t="str">
        <f>Raw_Data!B29</f>
        <v>Brentford</v>
      </c>
      <c r="C29">
        <f>Raw_Data!C29</f>
        <v>26</v>
      </c>
      <c r="D29" s="10">
        <f>Raw_Data!D29</f>
        <v>1321</v>
      </c>
      <c r="E29">
        <f>_xlfn.PERCENTRANK.INC(Raw_Data!$E$2:$E$60, Raw_Data!E29)</f>
        <v>0.47899999999999998</v>
      </c>
      <c r="F29">
        <f>_xlfn.PERCENTRANK.INC(Raw_Data!$F$2:$F$60, Raw_Data!F29)</f>
        <v>0.56200000000000006</v>
      </c>
      <c r="G29">
        <f>_xlfn.PERCENTRANK.INC(Raw_Data!$G$2:$G$60, Raw_Data!G29)</f>
        <v>0.625</v>
      </c>
      <c r="H29">
        <f>_xlfn.PERCENTRANK.INC(Raw_Data!$H$2:$H$60, Raw_Data!H29)</f>
        <v>0.375</v>
      </c>
      <c r="I29">
        <f>_xlfn.PERCENTRANK.INC(Raw_Data!$I$2:$I$60, Raw_Data!I29)</f>
        <v>0.625</v>
      </c>
      <c r="J29">
        <f>_xlfn.PERCENTRANK.INC(Raw_Data!$J$2:$J$60, Raw_Data!J29)</f>
        <v>0.125</v>
      </c>
      <c r="K29">
        <f>_xlfn.PERCENTRANK.INC(Raw_Data!$K$2:$K$60, Raw_Data!K29)</f>
        <v>0.5</v>
      </c>
      <c r="L29">
        <f>_xlfn.PERCENTRANK.INC(Raw_Data!$L$2:$L$60, Raw_Data!L29)</f>
        <v>0.68700000000000006</v>
      </c>
      <c r="M29">
        <f>_xlfn.PERCENTRANK.INC(Raw_Data!$M$2:$M$60, Raw_Data!M29)</f>
        <v>0.41599999999999998</v>
      </c>
      <c r="N29">
        <f>Raw_Data!N29</f>
        <v>15.3</v>
      </c>
      <c r="O29">
        <f>Raw_Data!O29</f>
        <v>0.3</v>
      </c>
      <c r="P29">
        <f>_xlfn.PERCENTRANK.INC(Raw_Data!$P$2:$P$60, Raw_Data!P29)</f>
        <v>0.437</v>
      </c>
      <c r="Q29">
        <f>_xlfn.PERCENTRANK.INC(Raw_Data!$Q$2:$Q$60, Raw_Data!Q29)</f>
        <v>0.20799999999999999</v>
      </c>
      <c r="R29">
        <f>_xlfn.PERCENTRANK.INC(Raw_Data!$R$2:$R$60, Raw_Data!R29)</f>
        <v>0.187</v>
      </c>
      <c r="S29">
        <f>_xlfn.PERCENTRANK.INC(Raw_Data!$S$2:$S$60, Raw_Data!S29)</f>
        <v>0.25</v>
      </c>
      <c r="T29">
        <f>_xlfn.PERCENTRANK.INC(Raw_Data!$T$2:$T$60, Raw_Data!T29)</f>
        <v>0.27</v>
      </c>
      <c r="U29">
        <f>_xlfn.PERCENTRANK.INC(Raw_Data!$U$2:$U$60, Raw_Data!U29)</f>
        <v>0.16600000000000001</v>
      </c>
    </row>
    <row r="30" spans="1:21" x14ac:dyDescent="0.2">
      <c r="A30" t="str">
        <f>Raw_Data!A30</f>
        <v>Bryan Mbeumo</v>
      </c>
      <c r="B30" t="str">
        <f>Raw_Data!B30</f>
        <v>Brentford</v>
      </c>
      <c r="C30">
        <f>Raw_Data!C30</f>
        <v>23</v>
      </c>
      <c r="D30" s="10">
        <f>Raw_Data!D30</f>
        <v>1960</v>
      </c>
      <c r="E30">
        <f>_xlfn.PERCENTRANK.INC(Raw_Data!$E$2:$E$60, Raw_Data!E30)</f>
        <v>0.35399999999999998</v>
      </c>
      <c r="F30">
        <f>_xlfn.PERCENTRANK.INC(Raw_Data!$F$2:$F$60, Raw_Data!F30)</f>
        <v>0.68700000000000006</v>
      </c>
      <c r="G30">
        <f>_xlfn.PERCENTRANK.INC(Raw_Data!$G$2:$G$60, Raw_Data!G30)</f>
        <v>0.45800000000000002</v>
      </c>
      <c r="H30">
        <f>_xlfn.PERCENTRANK.INC(Raw_Data!$H$2:$H$60, Raw_Data!H30)</f>
        <v>0.41599999999999998</v>
      </c>
      <c r="I30">
        <f>_xlfn.PERCENTRANK.INC(Raw_Data!$I$2:$I$60, Raw_Data!I30)</f>
        <v>0.375</v>
      </c>
      <c r="J30">
        <f>_xlfn.PERCENTRANK.INC(Raw_Data!$J$2:$J$60, Raw_Data!J30)</f>
        <v>0.312</v>
      </c>
      <c r="K30">
        <f>_xlfn.PERCENTRANK.INC(Raw_Data!$K$2:$K$60, Raw_Data!K30)</f>
        <v>0.56200000000000006</v>
      </c>
      <c r="L30">
        <f>_xlfn.PERCENTRANK.INC(Raw_Data!$L$2:$L$60, Raw_Data!L30)</f>
        <v>0.875</v>
      </c>
      <c r="M30">
        <f>_xlfn.PERCENTRANK.INC(Raw_Data!$M$2:$M$60, Raw_Data!M30)</f>
        <v>0.16600000000000001</v>
      </c>
      <c r="N30">
        <f>Raw_Data!N30</f>
        <v>17.100000000000001</v>
      </c>
      <c r="O30">
        <f>Raw_Data!O30</f>
        <v>-0.8</v>
      </c>
      <c r="P30">
        <f>_xlfn.PERCENTRANK.INC(Raw_Data!$P$2:$P$60, Raw_Data!P30)</f>
        <v>0.70799999999999996</v>
      </c>
      <c r="Q30">
        <f>_xlfn.PERCENTRANK.INC(Raw_Data!$Q$2:$Q$60, Raw_Data!Q30)</f>
        <v>0.64500000000000002</v>
      </c>
      <c r="R30">
        <f>_xlfn.PERCENTRANK.INC(Raw_Data!$R$2:$R$60, Raw_Data!R30)</f>
        <v>0.72899999999999998</v>
      </c>
      <c r="S30">
        <f>_xlfn.PERCENTRANK.INC(Raw_Data!$S$2:$S$60, Raw_Data!S30)</f>
        <v>0.625</v>
      </c>
      <c r="T30">
        <f>_xlfn.PERCENTRANK.INC(Raw_Data!$T$2:$T$60, Raw_Data!T30)</f>
        <v>0.68700000000000006</v>
      </c>
      <c r="U30">
        <f>_xlfn.PERCENTRANK.INC(Raw_Data!$U$2:$U$60, Raw_Data!U30)</f>
        <v>0.66600000000000004</v>
      </c>
    </row>
    <row r="31" spans="1:21" x14ac:dyDescent="0.2">
      <c r="A31" t="str">
        <f>Raw_Data!A31</f>
        <v>Oliver McBurnie</v>
      </c>
      <c r="B31" t="str">
        <f>Raw_Data!B31</f>
        <v>Sheffield Utd</v>
      </c>
      <c r="C31">
        <f>Raw_Data!C31</f>
        <v>27</v>
      </c>
      <c r="D31" s="10">
        <f>Raw_Data!D31</f>
        <v>1280</v>
      </c>
      <c r="E31">
        <f>_xlfn.PERCENTRANK.INC(Raw_Data!$E$2:$E$60, Raw_Data!E31)</f>
        <v>0.27</v>
      </c>
      <c r="F31">
        <f>_xlfn.PERCENTRANK.INC(Raw_Data!$F$2:$F$60, Raw_Data!F31)</f>
        <v>0.75</v>
      </c>
      <c r="G31">
        <f>_xlfn.PERCENTRANK.INC(Raw_Data!$G$2:$G$60, Raw_Data!G31)</f>
        <v>0.5</v>
      </c>
      <c r="H31">
        <f>_xlfn.PERCENTRANK.INC(Raw_Data!$H$2:$H$60, Raw_Data!H31)</f>
        <v>0.52</v>
      </c>
      <c r="I31">
        <f>_xlfn.PERCENTRANK.INC(Raw_Data!$I$2:$I$60, Raw_Data!I31)</f>
        <v>0.25</v>
      </c>
      <c r="J31">
        <f>_xlfn.PERCENTRANK.INC(Raw_Data!$J$2:$J$60, Raw_Data!J31)</f>
        <v>0.95799999999999996</v>
      </c>
      <c r="K31">
        <f>_xlfn.PERCENTRANK.INC(Raw_Data!$K$2:$K$60, Raw_Data!K31)</f>
        <v>1</v>
      </c>
      <c r="L31">
        <f>_xlfn.PERCENTRANK.INC(Raw_Data!$L$2:$L$60, Raw_Data!L31)</f>
        <v>0.83299999999999996</v>
      </c>
      <c r="M31">
        <f>_xlfn.PERCENTRANK.INC(Raw_Data!$M$2:$M$60, Raw_Data!M31)</f>
        <v>0.85399999999999998</v>
      </c>
      <c r="N31">
        <f>Raw_Data!N31</f>
        <v>11.9</v>
      </c>
      <c r="O31">
        <f>Raw_Data!O31</f>
        <v>-0.9</v>
      </c>
      <c r="P31">
        <f>_xlfn.PERCENTRANK.INC(Raw_Data!$P$2:$P$60, Raw_Data!P31)</f>
        <v>0.54100000000000004</v>
      </c>
      <c r="Q31">
        <f>_xlfn.PERCENTRANK.INC(Raw_Data!$Q$2:$Q$60, Raw_Data!Q31)</f>
        <v>0.14499999999999999</v>
      </c>
      <c r="R31">
        <f>_xlfn.PERCENTRANK.INC(Raw_Data!$R$2:$R$60, Raw_Data!R31)</f>
        <v>4.1000000000000002E-2</v>
      </c>
      <c r="S31">
        <f>_xlfn.PERCENTRANK.INC(Raw_Data!$S$2:$S$60, Raw_Data!S31)</f>
        <v>0</v>
      </c>
      <c r="T31">
        <f>_xlfn.PERCENTRANK.INC(Raw_Data!$T$2:$T$60, Raw_Data!T31)</f>
        <v>0.02</v>
      </c>
      <c r="U31">
        <f>_xlfn.PERCENTRANK.INC(Raw_Data!$U$2:$U$60, Raw_Data!U31)</f>
        <v>0</v>
      </c>
    </row>
    <row r="32" spans="1:21" x14ac:dyDescent="0.2">
      <c r="A32" t="str">
        <f>Raw_Data!A32</f>
        <v>Kaoru Mitoma</v>
      </c>
      <c r="B32" t="str">
        <f>Raw_Data!B32</f>
        <v>Brighton</v>
      </c>
      <c r="C32">
        <f>Raw_Data!C32</f>
        <v>26</v>
      </c>
      <c r="D32" s="10">
        <f>Raw_Data!D32</f>
        <v>1486</v>
      </c>
      <c r="E32">
        <f>_xlfn.PERCENTRANK.INC(Raw_Data!$E$2:$E$60, Raw_Data!E32)</f>
        <v>0.16600000000000001</v>
      </c>
      <c r="F32">
        <f>_xlfn.PERCENTRANK.INC(Raw_Data!$F$2:$F$60, Raw_Data!F32)</f>
        <v>8.3000000000000004E-2</v>
      </c>
      <c r="G32">
        <f>_xlfn.PERCENTRANK.INC(Raw_Data!$G$2:$G$60, Raw_Data!G32)</f>
        <v>0.125</v>
      </c>
      <c r="H32">
        <f>_xlfn.PERCENTRANK.INC(Raw_Data!$H$2:$H$60, Raw_Data!H32)</f>
        <v>0.85399999999999998</v>
      </c>
      <c r="I32">
        <f>_xlfn.PERCENTRANK.INC(Raw_Data!$I$2:$I$60, Raw_Data!I32)</f>
        <v>0</v>
      </c>
      <c r="J32">
        <f>_xlfn.PERCENTRANK.INC(Raw_Data!$J$2:$J$60, Raw_Data!J32)</f>
        <v>0.97899999999999998</v>
      </c>
      <c r="K32">
        <f>_xlfn.PERCENTRANK.INC(Raw_Data!$K$2:$K$60, Raw_Data!K32)</f>
        <v>0.312</v>
      </c>
      <c r="L32">
        <f>_xlfn.PERCENTRANK.INC(Raw_Data!$L$2:$L$60, Raw_Data!L32)</f>
        <v>0.5</v>
      </c>
      <c r="M32">
        <f>_xlfn.PERCENTRANK.INC(Raw_Data!$M$2:$M$60, Raw_Data!M32)</f>
        <v>0.70799999999999996</v>
      </c>
      <c r="N32">
        <f>Raw_Data!N32</f>
        <v>13.2</v>
      </c>
      <c r="O32">
        <f>Raw_Data!O32</f>
        <v>-0.5</v>
      </c>
      <c r="P32">
        <f>_xlfn.PERCENTRANK.INC(Raw_Data!$P$2:$P$60, Raw_Data!P32)</f>
        <v>0.91600000000000004</v>
      </c>
      <c r="Q32">
        <f>_xlfn.PERCENTRANK.INC(Raw_Data!$Q$2:$Q$60, Raw_Data!Q32)</f>
        <v>0.47899999999999998</v>
      </c>
      <c r="R32">
        <f>_xlfn.PERCENTRANK.INC(Raw_Data!$R$2:$R$60, Raw_Data!R32)</f>
        <v>0.83299999999999996</v>
      </c>
      <c r="S32">
        <f>_xlfn.PERCENTRANK.INC(Raw_Data!$S$2:$S$60, Raw_Data!S32)</f>
        <v>1</v>
      </c>
      <c r="T32">
        <f>_xlfn.PERCENTRANK.INC(Raw_Data!$T$2:$T$60, Raw_Data!T32)</f>
        <v>1</v>
      </c>
      <c r="U32">
        <f>_xlfn.PERCENTRANK.INC(Raw_Data!$U$2:$U$60, Raw_Data!U32)</f>
        <v>0.83299999999999996</v>
      </c>
    </row>
    <row r="33" spans="1:21" x14ac:dyDescent="0.2">
      <c r="A33" t="str">
        <f>Raw_Data!A33</f>
        <v>Mykhailo Mudryk</v>
      </c>
      <c r="B33" t="str">
        <f>Raw_Data!B33</f>
        <v>Chelsea</v>
      </c>
      <c r="C33">
        <f>Raw_Data!C33</f>
        <v>22</v>
      </c>
      <c r="D33" s="10">
        <f>Raw_Data!D33</f>
        <v>1576</v>
      </c>
      <c r="E33">
        <f>_xlfn.PERCENTRANK.INC(Raw_Data!$E$2:$E$60, Raw_Data!E33)</f>
        <v>0.14499999999999999</v>
      </c>
      <c r="F33">
        <f>_xlfn.PERCENTRANK.INC(Raw_Data!$F$2:$F$60, Raw_Data!F33)</f>
        <v>0.187</v>
      </c>
      <c r="G33">
        <f>_xlfn.PERCENTRANK.INC(Raw_Data!$G$2:$G$60, Raw_Data!G33)</f>
        <v>0.22900000000000001</v>
      </c>
      <c r="H33">
        <f>_xlfn.PERCENTRANK.INC(Raw_Data!$H$2:$H$60, Raw_Data!H33)</f>
        <v>0.312</v>
      </c>
      <c r="I33">
        <f>_xlfn.PERCENTRANK.INC(Raw_Data!$I$2:$I$60, Raw_Data!I33)</f>
        <v>0.35399999999999998</v>
      </c>
      <c r="J33">
        <f>_xlfn.PERCENTRANK.INC(Raw_Data!$J$2:$J$60, Raw_Data!J33)</f>
        <v>0.35399999999999998</v>
      </c>
      <c r="K33">
        <f>_xlfn.PERCENTRANK.INC(Raw_Data!$K$2:$K$60, Raw_Data!K33)</f>
        <v>0.20799999999999999</v>
      </c>
      <c r="L33">
        <f>_xlfn.PERCENTRANK.INC(Raw_Data!$L$2:$L$60, Raw_Data!L33)</f>
        <v>0.56200000000000006</v>
      </c>
      <c r="M33">
        <f>_xlfn.PERCENTRANK.INC(Raw_Data!$M$2:$M$60, Raw_Data!M33)</f>
        <v>0.25</v>
      </c>
      <c r="N33">
        <f>Raw_Data!N33</f>
        <v>17.2</v>
      </c>
      <c r="O33">
        <f>Raw_Data!O33</f>
        <v>0.6</v>
      </c>
      <c r="P33">
        <f>_xlfn.PERCENTRANK.INC(Raw_Data!$P$2:$P$60, Raw_Data!P33)</f>
        <v>0.68700000000000006</v>
      </c>
      <c r="Q33">
        <f>_xlfn.PERCENTRANK.INC(Raw_Data!$Q$2:$Q$60, Raw_Data!Q33)</f>
        <v>0.64500000000000002</v>
      </c>
      <c r="R33">
        <f>_xlfn.PERCENTRANK.INC(Raw_Data!$R$2:$R$60, Raw_Data!R33)</f>
        <v>0.5</v>
      </c>
      <c r="S33">
        <f>_xlfn.PERCENTRANK.INC(Raw_Data!$S$2:$S$60, Raw_Data!S33)</f>
        <v>0.91600000000000004</v>
      </c>
      <c r="T33">
        <f>_xlfn.PERCENTRANK.INC(Raw_Data!$T$2:$T$60, Raw_Data!T33)</f>
        <v>0.93700000000000006</v>
      </c>
      <c r="U33">
        <f>_xlfn.PERCENTRANK.INC(Raw_Data!$U$2:$U$60, Raw_Data!U33)</f>
        <v>0.625</v>
      </c>
    </row>
    <row r="34" spans="1:21" x14ac:dyDescent="0.2">
      <c r="A34" t="str">
        <f>Raw_Data!A34</f>
        <v>Rodrigo Muniz</v>
      </c>
      <c r="B34" t="str">
        <f>Raw_Data!B34</f>
        <v>Fulham</v>
      </c>
      <c r="C34">
        <f>Raw_Data!C34</f>
        <v>22</v>
      </c>
      <c r="D34" s="10">
        <f>Raw_Data!D34</f>
        <v>1593</v>
      </c>
      <c r="E34">
        <f>_xlfn.PERCENTRANK.INC(Raw_Data!$E$2:$E$60, Raw_Data!E34)</f>
        <v>0.97899999999999998</v>
      </c>
      <c r="F34">
        <f>_xlfn.PERCENTRANK.INC(Raw_Data!$F$2:$F$60, Raw_Data!F34)</f>
        <v>0.75</v>
      </c>
      <c r="G34">
        <f>_xlfn.PERCENTRANK.INC(Raw_Data!$G$2:$G$60, Raw_Data!G34)</f>
        <v>0.81200000000000006</v>
      </c>
      <c r="H34">
        <f>_xlfn.PERCENTRANK.INC(Raw_Data!$H$2:$H$60, Raw_Data!H34)</f>
        <v>0.77</v>
      </c>
      <c r="I34">
        <f>_xlfn.PERCENTRANK.INC(Raw_Data!$I$2:$I$60, Raw_Data!I34)</f>
        <v>0.85399999999999998</v>
      </c>
      <c r="J34">
        <f>_xlfn.PERCENTRANK.INC(Raw_Data!$J$2:$J$60, Raw_Data!J34)</f>
        <v>0.64500000000000002</v>
      </c>
      <c r="K34">
        <f>_xlfn.PERCENTRANK.INC(Raw_Data!$K$2:$K$60, Raw_Data!K34)</f>
        <v>0.93700000000000006</v>
      </c>
      <c r="L34">
        <f>_xlfn.PERCENTRANK.INC(Raw_Data!$L$2:$L$60, Raw_Data!L34)</f>
        <v>0.85399999999999998</v>
      </c>
      <c r="M34">
        <f>_xlfn.PERCENTRANK.INC(Raw_Data!$M$2:$M$60, Raw_Data!M34)</f>
        <v>0.33300000000000002</v>
      </c>
      <c r="N34">
        <f>Raw_Data!N34</f>
        <v>11.8</v>
      </c>
      <c r="O34">
        <f>Raw_Data!O34</f>
        <v>0.3</v>
      </c>
      <c r="P34">
        <f>_xlfn.PERCENTRANK.INC(Raw_Data!$P$2:$P$60, Raw_Data!P34)</f>
        <v>8.3000000000000004E-2</v>
      </c>
      <c r="Q34">
        <f>_xlfn.PERCENTRANK.INC(Raw_Data!$Q$2:$Q$60, Raw_Data!Q34)</f>
        <v>0.29099999999999998</v>
      </c>
      <c r="R34">
        <f>_xlfn.PERCENTRANK.INC(Raw_Data!$R$2:$R$60, Raw_Data!R34)</f>
        <v>8.3000000000000004E-2</v>
      </c>
      <c r="S34">
        <f>_xlfn.PERCENTRANK.INC(Raw_Data!$S$2:$S$60, Raw_Data!S34)</f>
        <v>0.02</v>
      </c>
      <c r="T34">
        <f>_xlfn.PERCENTRANK.INC(Raw_Data!$T$2:$T$60, Raw_Data!T34)</f>
        <v>0</v>
      </c>
      <c r="U34">
        <f>_xlfn.PERCENTRANK.INC(Raw_Data!$U$2:$U$60, Raw_Data!U34)</f>
        <v>0</v>
      </c>
    </row>
    <row r="35" spans="1:21" x14ac:dyDescent="0.2">
      <c r="A35" t="str">
        <f>Raw_Data!A35</f>
        <v>Eddie Nketiah</v>
      </c>
      <c r="B35" t="str">
        <f>Raw_Data!B35</f>
        <v>Arsenal</v>
      </c>
      <c r="C35">
        <f>Raw_Data!C35</f>
        <v>24</v>
      </c>
      <c r="D35" s="10">
        <f>Raw_Data!D35</f>
        <v>1082</v>
      </c>
      <c r="E35">
        <f>_xlfn.PERCENTRANK.INC(Raw_Data!$E$2:$E$60, Raw_Data!E35)</f>
        <v>0.77</v>
      </c>
      <c r="F35">
        <f>_xlfn.PERCENTRANK.INC(Raw_Data!$F$2:$F$60, Raw_Data!F35)</f>
        <v>0.5</v>
      </c>
      <c r="G35">
        <f>_xlfn.PERCENTRANK.INC(Raw_Data!$G$2:$G$60, Raw_Data!G35)</f>
        <v>0.58299999999999996</v>
      </c>
      <c r="H35">
        <f>_xlfn.PERCENTRANK.INC(Raw_Data!$H$2:$H$60, Raw_Data!H35)</f>
        <v>0.66600000000000004</v>
      </c>
      <c r="I35">
        <f>_xlfn.PERCENTRANK.INC(Raw_Data!$I$2:$I$60, Raw_Data!I35)</f>
        <v>0.5</v>
      </c>
      <c r="J35">
        <f>_xlfn.PERCENTRANK.INC(Raw_Data!$J$2:$J$60, Raw_Data!J35)</f>
        <v>0.85399999999999998</v>
      </c>
      <c r="K35">
        <f>_xlfn.PERCENTRANK.INC(Raw_Data!$K$2:$K$60, Raw_Data!K35)</f>
        <v>0.77</v>
      </c>
      <c r="L35">
        <f>_xlfn.PERCENTRANK.INC(Raw_Data!$L$2:$L$60, Raw_Data!L35)</f>
        <v>1</v>
      </c>
      <c r="M35">
        <f>_xlfn.PERCENTRANK.INC(Raw_Data!$M$2:$M$60, Raw_Data!M35)</f>
        <v>0.125</v>
      </c>
      <c r="N35">
        <f>Raw_Data!N35</f>
        <v>12.7</v>
      </c>
      <c r="O35">
        <f>Raw_Data!O35</f>
        <v>0.5</v>
      </c>
      <c r="P35">
        <f>_xlfn.PERCENTRANK.INC(Raw_Data!$P$2:$P$60, Raw_Data!P35)</f>
        <v>0.27</v>
      </c>
      <c r="Q35">
        <f>_xlfn.PERCENTRANK.INC(Raw_Data!$Q$2:$Q$60, Raw_Data!Q35)</f>
        <v>6.2E-2</v>
      </c>
      <c r="R35">
        <f>_xlfn.PERCENTRANK.INC(Raw_Data!$R$2:$R$60, Raw_Data!R35)</f>
        <v>0.125</v>
      </c>
      <c r="S35">
        <f>_xlfn.PERCENTRANK.INC(Raw_Data!$S$2:$S$60, Raw_Data!S35)</f>
        <v>0.39500000000000002</v>
      </c>
      <c r="T35">
        <f>_xlfn.PERCENTRANK.INC(Raw_Data!$T$2:$T$60, Raw_Data!T35)</f>
        <v>0.312</v>
      </c>
      <c r="U35">
        <f>_xlfn.PERCENTRANK.INC(Raw_Data!$U$2:$U$60, Raw_Data!U35)</f>
        <v>0.125</v>
      </c>
    </row>
    <row r="36" spans="1:21" x14ac:dyDescent="0.2">
      <c r="A36" t="str">
        <f>Raw_Data!A36</f>
        <v>Darwin Núñez</v>
      </c>
      <c r="B36" t="str">
        <f>Raw_Data!B36</f>
        <v>Liverpool</v>
      </c>
      <c r="C36">
        <f>Raw_Data!C36</f>
        <v>24</v>
      </c>
      <c r="D36" s="10">
        <f>Raw_Data!D36</f>
        <v>2047</v>
      </c>
      <c r="E36">
        <f>_xlfn.PERCENTRANK.INC(Raw_Data!$E$2:$E$60, Raw_Data!E36)</f>
        <v>1</v>
      </c>
      <c r="F36">
        <f>_xlfn.PERCENTRANK.INC(Raw_Data!$F$2:$F$60, Raw_Data!F36)</f>
        <v>0.91600000000000004</v>
      </c>
      <c r="G36">
        <f>_xlfn.PERCENTRANK.INC(Raw_Data!$G$2:$G$60, Raw_Data!G36)</f>
        <v>0.97899999999999998</v>
      </c>
      <c r="H36">
        <f>_xlfn.PERCENTRANK.INC(Raw_Data!$H$2:$H$60, Raw_Data!H36)</f>
        <v>0.91600000000000004</v>
      </c>
      <c r="I36">
        <f>_xlfn.PERCENTRANK.INC(Raw_Data!$I$2:$I$60, Raw_Data!I36)</f>
        <v>0.70799999999999996</v>
      </c>
      <c r="J36">
        <f>_xlfn.PERCENTRANK.INC(Raw_Data!$J$2:$J$60, Raw_Data!J36)</f>
        <v>0.54100000000000004</v>
      </c>
      <c r="K36">
        <f>_xlfn.PERCENTRANK.INC(Raw_Data!$K$2:$K$60, Raw_Data!K36)</f>
        <v>0.68700000000000006</v>
      </c>
      <c r="L36">
        <f>_xlfn.PERCENTRANK.INC(Raw_Data!$L$2:$L$60, Raw_Data!L36)</f>
        <v>4.1000000000000002E-2</v>
      </c>
      <c r="M36">
        <f>_xlfn.PERCENTRANK.INC(Raw_Data!$M$2:$M$60, Raw_Data!M36)</f>
        <v>0.60399999999999998</v>
      </c>
      <c r="N36">
        <f>Raw_Data!N36</f>
        <v>15</v>
      </c>
      <c r="O36">
        <f>Raw_Data!O36</f>
        <v>-5.3</v>
      </c>
      <c r="P36">
        <f>_xlfn.PERCENTRANK.INC(Raw_Data!$P$2:$P$60, Raw_Data!P36)</f>
        <v>0.41599999999999998</v>
      </c>
      <c r="Q36">
        <f>_xlfn.PERCENTRANK.INC(Raw_Data!$Q$2:$Q$60, Raw_Data!Q36)</f>
        <v>0.70799999999999996</v>
      </c>
      <c r="R36">
        <f>_xlfn.PERCENTRANK.INC(Raw_Data!$R$2:$R$60, Raw_Data!R36)</f>
        <v>0.77</v>
      </c>
      <c r="S36">
        <f>_xlfn.PERCENTRANK.INC(Raw_Data!$S$2:$S$60, Raw_Data!S36)</f>
        <v>0.52</v>
      </c>
      <c r="T36">
        <f>_xlfn.PERCENTRANK.INC(Raw_Data!$T$2:$T$60, Raw_Data!T36)</f>
        <v>0.41599999999999998</v>
      </c>
      <c r="U36">
        <f>_xlfn.PERCENTRANK.INC(Raw_Data!$U$2:$U$60, Raw_Data!U36)</f>
        <v>0.625</v>
      </c>
    </row>
    <row r="37" spans="1:21" x14ac:dyDescent="0.2">
      <c r="A37" t="str">
        <f>Raw_Data!A37</f>
        <v>Marcus Rashford</v>
      </c>
      <c r="B37" t="str">
        <f>Raw_Data!B37</f>
        <v>Manchester Utd</v>
      </c>
      <c r="C37">
        <f>Raw_Data!C37</f>
        <v>25</v>
      </c>
      <c r="D37" s="10">
        <f>Raw_Data!D37</f>
        <v>2271</v>
      </c>
      <c r="E37">
        <f>_xlfn.PERCENTRANK.INC(Raw_Data!$E$2:$E$60, Raw_Data!E37)</f>
        <v>0.375</v>
      </c>
      <c r="F37">
        <f>_xlfn.PERCENTRANK.INC(Raw_Data!$F$2:$F$60, Raw_Data!F37)</f>
        <v>0.22900000000000001</v>
      </c>
      <c r="G37">
        <f>_xlfn.PERCENTRANK.INC(Raw_Data!$G$2:$G$60, Raw_Data!G37)</f>
        <v>0.16600000000000001</v>
      </c>
      <c r="H37">
        <f>_xlfn.PERCENTRANK.INC(Raw_Data!$H$2:$H$60, Raw_Data!H37)</f>
        <v>0.45800000000000002</v>
      </c>
      <c r="I37">
        <f>_xlfn.PERCENTRANK.INC(Raw_Data!$I$2:$I$60, Raw_Data!I37)</f>
        <v>0.39500000000000002</v>
      </c>
      <c r="J37">
        <f>_xlfn.PERCENTRANK.INC(Raw_Data!$J$2:$J$60, Raw_Data!J37)</f>
        <v>0.45800000000000002</v>
      </c>
      <c r="K37">
        <f>_xlfn.PERCENTRANK.INC(Raw_Data!$K$2:$K$60, Raw_Data!K37)</f>
        <v>0.27</v>
      </c>
      <c r="L37">
        <f>_xlfn.PERCENTRANK.INC(Raw_Data!$L$2:$L$60, Raw_Data!L37)</f>
        <v>8.3000000000000004E-2</v>
      </c>
      <c r="M37">
        <f>_xlfn.PERCENTRANK.INC(Raw_Data!$M$2:$M$60, Raw_Data!M37)</f>
        <v>0.14499999999999999</v>
      </c>
      <c r="N37">
        <f>Raw_Data!N37</f>
        <v>16.8</v>
      </c>
      <c r="O37">
        <f>Raw_Data!O37</f>
        <v>-0.4</v>
      </c>
      <c r="P37">
        <f>_xlfn.PERCENTRANK.INC(Raw_Data!$P$2:$P$60, Raw_Data!P37)</f>
        <v>0.58299999999999996</v>
      </c>
      <c r="Q37">
        <f>_xlfn.PERCENTRANK.INC(Raw_Data!$Q$2:$Q$60, Raw_Data!Q37)</f>
        <v>0.437</v>
      </c>
      <c r="R37">
        <f>_xlfn.PERCENTRANK.INC(Raw_Data!$R$2:$R$60, Raw_Data!R37)</f>
        <v>0.66600000000000004</v>
      </c>
      <c r="S37">
        <f>_xlfn.PERCENTRANK.INC(Raw_Data!$S$2:$S$60, Raw_Data!S37)</f>
        <v>0.72899999999999998</v>
      </c>
      <c r="T37">
        <f>_xlfn.PERCENTRANK.INC(Raw_Data!$T$2:$T$60, Raw_Data!T37)</f>
        <v>0.66600000000000004</v>
      </c>
      <c r="U37">
        <f>_xlfn.PERCENTRANK.INC(Raw_Data!$U$2:$U$60, Raw_Data!U37)</f>
        <v>0.875</v>
      </c>
    </row>
    <row r="38" spans="1:21" x14ac:dyDescent="0.2">
      <c r="A38" t="str">
        <f>Raw_Data!A38</f>
        <v>Richarlison</v>
      </c>
      <c r="B38" t="str">
        <f>Raw_Data!B38</f>
        <v>Tottenham</v>
      </c>
      <c r="C38">
        <f>Raw_Data!C38</f>
        <v>26</v>
      </c>
      <c r="D38" s="10">
        <f>Raw_Data!D38</f>
        <v>1491</v>
      </c>
      <c r="E38">
        <f>_xlfn.PERCENTRANK.INC(Raw_Data!$E$2:$E$60, Raw_Data!E38)</f>
        <v>0.89500000000000002</v>
      </c>
      <c r="F38">
        <f>_xlfn.PERCENTRANK.INC(Raw_Data!$F$2:$F$60, Raw_Data!F38)</f>
        <v>0.83299999999999996</v>
      </c>
      <c r="G38">
        <f>_xlfn.PERCENTRANK.INC(Raw_Data!$G$2:$G$60, Raw_Data!G38)</f>
        <v>0.875</v>
      </c>
      <c r="H38">
        <f>_xlfn.PERCENTRANK.INC(Raw_Data!$H$2:$H$60, Raw_Data!H38)</f>
        <v>0.81200000000000006</v>
      </c>
      <c r="I38">
        <f>_xlfn.PERCENTRANK.INC(Raw_Data!$I$2:$I$60, Raw_Data!I38)</f>
        <v>0.56200000000000006</v>
      </c>
      <c r="J38">
        <f>_xlfn.PERCENTRANK.INC(Raw_Data!$J$2:$J$60, Raw_Data!J38)</f>
        <v>0.25</v>
      </c>
      <c r="K38">
        <f>_xlfn.PERCENTRANK.INC(Raw_Data!$K$2:$K$60, Raw_Data!K38)</f>
        <v>0.70799999999999996</v>
      </c>
      <c r="L38">
        <f>_xlfn.PERCENTRANK.INC(Raw_Data!$L$2:$L$60, Raw_Data!L38)</f>
        <v>0.77</v>
      </c>
      <c r="M38">
        <f>_xlfn.PERCENTRANK.INC(Raw_Data!$M$2:$M$60, Raw_Data!M38)</f>
        <v>0.5</v>
      </c>
      <c r="N38">
        <f>Raw_Data!N38</f>
        <v>12.9</v>
      </c>
      <c r="O38">
        <f>Raw_Data!O38</f>
        <v>1.4</v>
      </c>
      <c r="P38">
        <f>_xlfn.PERCENTRANK.INC(Raw_Data!$P$2:$P$60, Raw_Data!P38)</f>
        <v>0.45800000000000002</v>
      </c>
      <c r="Q38">
        <f>_xlfn.PERCENTRANK.INC(Raw_Data!$Q$2:$Q$60, Raw_Data!Q38)</f>
        <v>0.20799999999999999</v>
      </c>
      <c r="R38">
        <f>_xlfn.PERCENTRANK.INC(Raw_Data!$R$2:$R$60, Raw_Data!R38)</f>
        <v>0.29099999999999998</v>
      </c>
      <c r="S38">
        <f>_xlfn.PERCENTRANK.INC(Raw_Data!$S$2:$S$60, Raw_Data!S38)</f>
        <v>0.33300000000000002</v>
      </c>
      <c r="T38">
        <f>_xlfn.PERCENTRANK.INC(Raw_Data!$T$2:$T$60, Raw_Data!T38)</f>
        <v>0.33300000000000002</v>
      </c>
      <c r="U38">
        <f>_xlfn.PERCENTRANK.INC(Raw_Data!$U$2:$U$60, Raw_Data!U38)</f>
        <v>0.312</v>
      </c>
    </row>
    <row r="39" spans="1:21" x14ac:dyDescent="0.2">
      <c r="A39" t="str">
        <f>Raw_Data!A39</f>
        <v>Bukayo Saka</v>
      </c>
      <c r="B39" t="str">
        <f>Raw_Data!B39</f>
        <v>Arsenal</v>
      </c>
      <c r="C39">
        <f>Raw_Data!C39</f>
        <v>21</v>
      </c>
      <c r="D39" s="10">
        <f>Raw_Data!D39</f>
        <v>2919</v>
      </c>
      <c r="E39">
        <f>_xlfn.PERCENTRANK.INC(Raw_Data!$E$2:$E$60, Raw_Data!E39)</f>
        <v>0.75</v>
      </c>
      <c r="F39">
        <f>_xlfn.PERCENTRANK.INC(Raw_Data!$F$2:$F$60, Raw_Data!F39)</f>
        <v>0.72899999999999998</v>
      </c>
      <c r="G39">
        <f>_xlfn.PERCENTRANK.INC(Raw_Data!$G$2:$G$60, Raw_Data!G39)</f>
        <v>0.41599999999999998</v>
      </c>
      <c r="H39">
        <f>_xlfn.PERCENTRANK.INC(Raw_Data!$H$2:$H$60, Raw_Data!H39)</f>
        <v>0.875</v>
      </c>
      <c r="I39">
        <f>_xlfn.PERCENTRANK.INC(Raw_Data!$I$2:$I$60, Raw_Data!I39)</f>
        <v>8.3000000000000004E-2</v>
      </c>
      <c r="J39">
        <f>_xlfn.PERCENTRANK.INC(Raw_Data!$J$2:$J$60, Raw_Data!J39)</f>
        <v>0.58299999999999996</v>
      </c>
      <c r="K39">
        <f>_xlfn.PERCENTRANK.INC(Raw_Data!$K$2:$K$60, Raw_Data!K39)</f>
        <v>0.375</v>
      </c>
      <c r="L39">
        <f>_xlfn.PERCENTRANK.INC(Raw_Data!$L$2:$L$60, Raw_Data!L39)</f>
        <v>0.93700000000000006</v>
      </c>
      <c r="M39">
        <f>_xlfn.PERCENTRANK.INC(Raw_Data!$M$2:$M$60, Raw_Data!M39)</f>
        <v>0.104</v>
      </c>
      <c r="N39">
        <f>Raw_Data!N39</f>
        <v>16.3</v>
      </c>
      <c r="O39">
        <f>Raw_Data!O39</f>
        <v>0.5</v>
      </c>
      <c r="P39">
        <f>_xlfn.PERCENTRANK.INC(Raw_Data!$P$2:$P$60, Raw_Data!P39)</f>
        <v>0.95799999999999996</v>
      </c>
      <c r="Q39">
        <f>_xlfn.PERCENTRANK.INC(Raw_Data!$Q$2:$Q$60, Raw_Data!Q39)</f>
        <v>1</v>
      </c>
      <c r="R39">
        <f>_xlfn.PERCENTRANK.INC(Raw_Data!$R$2:$R$60, Raw_Data!R39)</f>
        <v>1</v>
      </c>
      <c r="S39">
        <f>_xlfn.PERCENTRANK.INC(Raw_Data!$S$2:$S$60, Raw_Data!S39)</f>
        <v>0.89500000000000002</v>
      </c>
      <c r="T39">
        <f>_xlfn.PERCENTRANK.INC(Raw_Data!$T$2:$T$60, Raw_Data!T39)</f>
        <v>0.81200000000000006</v>
      </c>
      <c r="U39">
        <f>_xlfn.PERCENTRANK.INC(Raw_Data!$U$2:$U$60, Raw_Data!U39)</f>
        <v>0.95799999999999996</v>
      </c>
    </row>
    <row r="40" spans="1:21" x14ac:dyDescent="0.2">
      <c r="A40" t="str">
        <f>Raw_Data!A40</f>
        <v>Mohamed Salah</v>
      </c>
      <c r="B40" t="str">
        <f>Raw_Data!B40</f>
        <v>Liverpool</v>
      </c>
      <c r="C40">
        <f>Raw_Data!C40</f>
        <v>31</v>
      </c>
      <c r="D40" s="10">
        <f>Raw_Data!D40</f>
        <v>2534</v>
      </c>
      <c r="E40">
        <f>_xlfn.PERCENTRANK.INC(Raw_Data!$E$2:$E$60, Raw_Data!E40)</f>
        <v>0.91600000000000004</v>
      </c>
      <c r="F40">
        <f>_xlfn.PERCENTRANK.INC(Raw_Data!$F$2:$F$60, Raw_Data!F40)</f>
        <v>0.93700000000000006</v>
      </c>
      <c r="G40">
        <f>_xlfn.PERCENTRANK.INC(Raw_Data!$G$2:$G$60, Raw_Data!G40)</f>
        <v>0.83299999999999996</v>
      </c>
      <c r="H40">
        <f>_xlfn.PERCENTRANK.INC(Raw_Data!$H$2:$H$60, Raw_Data!H40)</f>
        <v>0.95799999999999996</v>
      </c>
      <c r="I40">
        <f>_xlfn.PERCENTRANK.INC(Raw_Data!$I$2:$I$60, Raw_Data!I40)</f>
        <v>0.33300000000000002</v>
      </c>
      <c r="J40">
        <f>_xlfn.PERCENTRANK.INC(Raw_Data!$J$2:$J$60, Raw_Data!J40)</f>
        <v>0.20799999999999999</v>
      </c>
      <c r="K40">
        <f>_xlfn.PERCENTRANK.INC(Raw_Data!$K$2:$K$60, Raw_Data!K40)</f>
        <v>4.1000000000000002E-2</v>
      </c>
      <c r="L40">
        <f>_xlfn.PERCENTRANK.INC(Raw_Data!$L$2:$L$60, Raw_Data!L40)</f>
        <v>0.125</v>
      </c>
      <c r="M40">
        <f>_xlfn.PERCENTRANK.INC(Raw_Data!$M$2:$M$60, Raw_Data!M40)</f>
        <v>0.64500000000000002</v>
      </c>
      <c r="N40">
        <f>Raw_Data!N40</f>
        <v>15.5</v>
      </c>
      <c r="O40">
        <f>Raw_Data!O40</f>
        <v>-3.2</v>
      </c>
      <c r="P40">
        <f>_xlfn.PERCENTRANK.INC(Raw_Data!$P$2:$P$60, Raw_Data!P40)</f>
        <v>0.89500000000000002</v>
      </c>
      <c r="Q40">
        <f>_xlfn.PERCENTRANK.INC(Raw_Data!$Q$2:$Q$60, Raw_Data!Q40)</f>
        <v>0.95799999999999996</v>
      </c>
      <c r="R40">
        <f>_xlfn.PERCENTRANK.INC(Raw_Data!$R$2:$R$60, Raw_Data!R40)</f>
        <v>0.95799999999999996</v>
      </c>
      <c r="S40">
        <f>_xlfn.PERCENTRANK.INC(Raw_Data!$S$2:$S$60, Raw_Data!S40)</f>
        <v>0.64500000000000002</v>
      </c>
      <c r="T40">
        <f>_xlfn.PERCENTRANK.INC(Raw_Data!$T$2:$T$60, Raw_Data!T40)</f>
        <v>0.64500000000000002</v>
      </c>
      <c r="U40">
        <f>_xlfn.PERCENTRANK.INC(Raw_Data!$U$2:$U$60, Raw_Data!U40)</f>
        <v>0.91600000000000004</v>
      </c>
    </row>
    <row r="41" spans="1:21" x14ac:dyDescent="0.2">
      <c r="A41" t="str">
        <f>Raw_Data!A41</f>
        <v>Antoine Semenyo</v>
      </c>
      <c r="B41" t="str">
        <f>Raw_Data!B41</f>
        <v>Bournemouth</v>
      </c>
      <c r="C41">
        <f>Raw_Data!C41</f>
        <v>23</v>
      </c>
      <c r="D41" s="10">
        <f>Raw_Data!D41</f>
        <v>2105</v>
      </c>
      <c r="E41">
        <f>_xlfn.PERCENTRANK.INC(Raw_Data!$E$2:$E$60, Raw_Data!E41)</f>
        <v>0.68700000000000006</v>
      </c>
      <c r="F41">
        <f>_xlfn.PERCENTRANK.INC(Raw_Data!$F$2:$F$60, Raw_Data!F41)</f>
        <v>6.2E-2</v>
      </c>
      <c r="G41">
        <f>_xlfn.PERCENTRANK.INC(Raw_Data!$G$2:$G$60, Raw_Data!G41)</f>
        <v>0.104</v>
      </c>
      <c r="H41">
        <f>_xlfn.PERCENTRANK.INC(Raw_Data!$H$2:$H$60, Raw_Data!H41)</f>
        <v>0.54100000000000004</v>
      </c>
      <c r="I41">
        <f>_xlfn.PERCENTRANK.INC(Raw_Data!$I$2:$I$60, Raw_Data!I41)</f>
        <v>0.75</v>
      </c>
      <c r="J41">
        <f>_xlfn.PERCENTRANK.INC(Raw_Data!$J$2:$J$60, Raw_Data!J41)</f>
        <v>0.60399999999999998</v>
      </c>
      <c r="K41">
        <f>_xlfn.PERCENTRANK.INC(Raw_Data!$K$2:$K$60, Raw_Data!K41)</f>
        <v>0.81200000000000006</v>
      </c>
      <c r="L41">
        <f>_xlfn.PERCENTRANK.INC(Raw_Data!$L$2:$L$60, Raw_Data!L41)</f>
        <v>0.20799999999999999</v>
      </c>
      <c r="M41">
        <f>_xlfn.PERCENTRANK.INC(Raw_Data!$M$2:$M$60, Raw_Data!M41)</f>
        <v>0.58299999999999996</v>
      </c>
      <c r="N41">
        <f>Raw_Data!N41</f>
        <v>17.8</v>
      </c>
      <c r="O41">
        <f>Raw_Data!O41</f>
        <v>3.4</v>
      </c>
      <c r="P41">
        <f>_xlfn.PERCENTRANK.INC(Raw_Data!$P$2:$P$60, Raw_Data!P41)</f>
        <v>0.52</v>
      </c>
      <c r="Q41">
        <f>_xlfn.PERCENTRANK.INC(Raw_Data!$Q$2:$Q$60, Raw_Data!Q41)</f>
        <v>0.54100000000000004</v>
      </c>
      <c r="R41">
        <f>_xlfn.PERCENTRANK.INC(Raw_Data!$R$2:$R$60, Raw_Data!R41)</f>
        <v>0.70799999999999996</v>
      </c>
      <c r="S41">
        <f>_xlfn.PERCENTRANK.INC(Raw_Data!$S$2:$S$60, Raw_Data!S41)</f>
        <v>0.75</v>
      </c>
      <c r="T41">
        <f>_xlfn.PERCENTRANK.INC(Raw_Data!$T$2:$T$60, Raw_Data!T41)</f>
        <v>0.75</v>
      </c>
      <c r="U41">
        <f>_xlfn.PERCENTRANK.INC(Raw_Data!$U$2:$U$60, Raw_Data!U41)</f>
        <v>0.75</v>
      </c>
    </row>
    <row r="42" spans="1:21" x14ac:dyDescent="0.2">
      <c r="A42" t="str">
        <f>Raw_Data!A42</f>
        <v>Dominic Solanke</v>
      </c>
      <c r="B42" t="str">
        <f>Raw_Data!B42</f>
        <v>Bournemouth</v>
      </c>
      <c r="C42">
        <f>Raw_Data!C42</f>
        <v>25</v>
      </c>
      <c r="D42" s="10">
        <f>Raw_Data!D42</f>
        <v>3325</v>
      </c>
      <c r="E42">
        <f>_xlfn.PERCENTRANK.INC(Raw_Data!$E$2:$E$60, Raw_Data!E42)</f>
        <v>0.60399999999999998</v>
      </c>
      <c r="F42">
        <f>_xlfn.PERCENTRANK.INC(Raw_Data!$F$2:$F$60, Raw_Data!F42)</f>
        <v>0.79100000000000004</v>
      </c>
      <c r="G42">
        <f>_xlfn.PERCENTRANK.INC(Raw_Data!$G$2:$G$60, Raw_Data!G42)</f>
        <v>0.75</v>
      </c>
      <c r="H42">
        <f>_xlfn.PERCENTRANK.INC(Raw_Data!$H$2:$H$60, Raw_Data!H42)</f>
        <v>0.58299999999999996</v>
      </c>
      <c r="I42">
        <f>_xlfn.PERCENTRANK.INC(Raw_Data!$I$2:$I$60, Raw_Data!I42)</f>
        <v>0.45800000000000002</v>
      </c>
      <c r="J42">
        <f>_xlfn.PERCENTRANK.INC(Raw_Data!$J$2:$J$60, Raw_Data!J42)</f>
        <v>0.68700000000000006</v>
      </c>
      <c r="K42">
        <f>_xlfn.PERCENTRANK.INC(Raw_Data!$K$2:$K$60, Raw_Data!K42)</f>
        <v>0.83299999999999996</v>
      </c>
      <c r="L42">
        <f>_xlfn.PERCENTRANK.INC(Raw_Data!$L$2:$L$60, Raw_Data!L42)</f>
        <v>0.312</v>
      </c>
      <c r="M42">
        <f>_xlfn.PERCENTRANK.INC(Raw_Data!$M$2:$M$60, Raw_Data!M42)</f>
        <v>0.20799999999999999</v>
      </c>
      <c r="N42">
        <f>Raw_Data!N42</f>
        <v>12.2</v>
      </c>
      <c r="O42">
        <f>Raw_Data!O42</f>
        <v>-0.6</v>
      </c>
      <c r="P42">
        <f>_xlfn.PERCENTRANK.INC(Raw_Data!$P$2:$P$60, Raw_Data!P42)</f>
        <v>0.104</v>
      </c>
      <c r="Q42">
        <f>_xlfn.PERCENTRANK.INC(Raw_Data!$Q$2:$Q$60, Raw_Data!Q42)</f>
        <v>0.77</v>
      </c>
      <c r="R42">
        <f>_xlfn.PERCENTRANK.INC(Raw_Data!$R$2:$R$60, Raw_Data!R42)</f>
        <v>0.64500000000000002</v>
      </c>
      <c r="S42">
        <f>_xlfn.PERCENTRANK.INC(Raw_Data!$S$2:$S$60, Raw_Data!S42)</f>
        <v>0.22900000000000001</v>
      </c>
      <c r="T42">
        <f>_xlfn.PERCENTRANK.INC(Raw_Data!$T$2:$T$60, Raw_Data!T42)</f>
        <v>0.25</v>
      </c>
      <c r="U42">
        <f>_xlfn.PERCENTRANK.INC(Raw_Data!$U$2:$U$60, Raw_Data!U42)</f>
        <v>0.56200000000000006</v>
      </c>
    </row>
    <row r="43" spans="1:21" x14ac:dyDescent="0.2">
      <c r="A43" t="str">
        <f>Raw_Data!A43</f>
        <v>Marcus Tavernier</v>
      </c>
      <c r="B43" t="str">
        <f>Raw_Data!B43</f>
        <v>Bournemouth</v>
      </c>
      <c r="C43">
        <f>Raw_Data!C43</f>
        <v>24</v>
      </c>
      <c r="D43" s="10">
        <f>Raw_Data!D43</f>
        <v>2118</v>
      </c>
      <c r="E43">
        <f>_xlfn.PERCENTRANK.INC(Raw_Data!$E$2:$E$60, Raw_Data!E43)</f>
        <v>0.33300000000000002</v>
      </c>
      <c r="F43">
        <f>_xlfn.PERCENTRANK.INC(Raw_Data!$F$2:$F$60, Raw_Data!F43)</f>
        <v>0</v>
      </c>
      <c r="G43">
        <f>_xlfn.PERCENTRANK.INC(Raw_Data!$G$2:$G$60, Raw_Data!G43)</f>
        <v>4.1000000000000002E-2</v>
      </c>
      <c r="H43">
        <f>_xlfn.PERCENTRANK.INC(Raw_Data!$H$2:$H$60, Raw_Data!H43)</f>
        <v>0.16600000000000001</v>
      </c>
      <c r="I43">
        <f>_xlfn.PERCENTRANK.INC(Raw_Data!$I$2:$I$60, Raw_Data!I43)</f>
        <v>0.72899999999999998</v>
      </c>
      <c r="J43">
        <f>_xlfn.PERCENTRANK.INC(Raw_Data!$J$2:$J$60, Raw_Data!J43)</f>
        <v>0.187</v>
      </c>
      <c r="K43">
        <f>_xlfn.PERCENTRANK.INC(Raw_Data!$K$2:$K$60, Raw_Data!K43)</f>
        <v>0.25</v>
      </c>
      <c r="L43">
        <f>_xlfn.PERCENTRANK.INC(Raw_Data!$L$2:$L$60, Raw_Data!L43)</f>
        <v>0.14499999999999999</v>
      </c>
      <c r="M43">
        <f>_xlfn.PERCENTRANK.INC(Raw_Data!$M$2:$M$60, Raw_Data!M43)</f>
        <v>8.3000000000000004E-2</v>
      </c>
      <c r="N43">
        <f>Raw_Data!N43</f>
        <v>20</v>
      </c>
      <c r="O43">
        <f>Raw_Data!O43</f>
        <v>-0.9</v>
      </c>
      <c r="P43">
        <f>_xlfn.PERCENTRANK.INC(Raw_Data!$P$2:$P$60, Raw_Data!P43)</f>
        <v>0.66600000000000004</v>
      </c>
      <c r="Q43">
        <f>_xlfn.PERCENTRANK.INC(Raw_Data!$Q$2:$Q$60, Raw_Data!Q43)</f>
        <v>0.79100000000000004</v>
      </c>
      <c r="R43">
        <f>_xlfn.PERCENTRANK.INC(Raw_Data!$R$2:$R$60, Raw_Data!R43)</f>
        <v>0.60399999999999998</v>
      </c>
      <c r="S43">
        <f>_xlfn.PERCENTRANK.INC(Raw_Data!$S$2:$S$60, Raw_Data!S43)</f>
        <v>0.60399999999999998</v>
      </c>
      <c r="T43">
        <f>_xlfn.PERCENTRANK.INC(Raw_Data!$T$2:$T$60, Raw_Data!T43)</f>
        <v>0.72899999999999998</v>
      </c>
      <c r="U43">
        <f>_xlfn.PERCENTRANK.INC(Raw_Data!$U$2:$U$60, Raw_Data!U43)</f>
        <v>0.52</v>
      </c>
    </row>
    <row r="44" spans="1:21" x14ac:dyDescent="0.2">
      <c r="A44" t="str">
        <f>Raw_Data!A44</f>
        <v>Ivan Toney</v>
      </c>
      <c r="B44" t="str">
        <f>Raw_Data!B44</f>
        <v>Brentford</v>
      </c>
      <c r="C44">
        <f>Raw_Data!C44</f>
        <v>27</v>
      </c>
      <c r="D44" s="10">
        <f>Raw_Data!D44</f>
        <v>1450</v>
      </c>
      <c r="E44">
        <f>_xlfn.PERCENTRANK.INC(Raw_Data!$E$2:$E$60, Raw_Data!E44)</f>
        <v>0.79100000000000004</v>
      </c>
      <c r="F44">
        <f>_xlfn.PERCENTRANK.INC(Raw_Data!$F$2:$F$60, Raw_Data!F44)</f>
        <v>0.437</v>
      </c>
      <c r="G44">
        <f>_xlfn.PERCENTRANK.INC(Raw_Data!$G$2:$G$60, Raw_Data!G44)</f>
        <v>0.5</v>
      </c>
      <c r="H44">
        <f>_xlfn.PERCENTRANK.INC(Raw_Data!$H$2:$H$60, Raw_Data!H44)</f>
        <v>0.25</v>
      </c>
      <c r="I44">
        <f>_xlfn.PERCENTRANK.INC(Raw_Data!$I$2:$I$60, Raw_Data!I44)</f>
        <v>1</v>
      </c>
      <c r="J44">
        <f>_xlfn.PERCENTRANK.INC(Raw_Data!$J$2:$J$60, Raw_Data!J44)</f>
        <v>0.89500000000000002</v>
      </c>
      <c r="K44">
        <f>_xlfn.PERCENTRANK.INC(Raw_Data!$K$2:$K$60, Raw_Data!K44)</f>
        <v>0.89500000000000002</v>
      </c>
      <c r="L44">
        <f>_xlfn.PERCENTRANK.INC(Raw_Data!$L$2:$L$60, Raw_Data!L44)</f>
        <v>0.72899999999999998</v>
      </c>
      <c r="M44">
        <f>_xlfn.PERCENTRANK.INC(Raw_Data!$M$2:$M$60, Raw_Data!M44)</f>
        <v>0.52</v>
      </c>
      <c r="N44">
        <f>Raw_Data!N44</f>
        <v>17.399999999999999</v>
      </c>
      <c r="O44">
        <f>Raw_Data!O44</f>
        <v>-2</v>
      </c>
      <c r="P44">
        <f>_xlfn.PERCENTRANK.INC(Raw_Data!$P$2:$P$60, Raw_Data!P44)</f>
        <v>0.5</v>
      </c>
      <c r="Q44">
        <f>_xlfn.PERCENTRANK.INC(Raw_Data!$Q$2:$Q$60, Raw_Data!Q44)</f>
        <v>0.14499999999999999</v>
      </c>
      <c r="R44">
        <f>_xlfn.PERCENTRANK.INC(Raw_Data!$R$2:$R$60, Raw_Data!R44)</f>
        <v>0.25</v>
      </c>
      <c r="S44">
        <f>_xlfn.PERCENTRANK.INC(Raw_Data!$S$2:$S$60, Raw_Data!S44)</f>
        <v>0.25</v>
      </c>
      <c r="T44">
        <f>_xlfn.PERCENTRANK.INC(Raw_Data!$T$2:$T$60, Raw_Data!T44)</f>
        <v>0.39500000000000002</v>
      </c>
      <c r="U44">
        <f>_xlfn.PERCENTRANK.INC(Raw_Data!$U$2:$U$60, Raw_Data!U44)</f>
        <v>0.187</v>
      </c>
    </row>
    <row r="45" spans="1:21" x14ac:dyDescent="0.2">
      <c r="A45" t="str">
        <f>Raw_Data!A45</f>
        <v>Ollie Watkins</v>
      </c>
      <c r="B45" t="str">
        <f>Raw_Data!B45</f>
        <v>Aston Villa</v>
      </c>
      <c r="C45">
        <f>Raw_Data!C45</f>
        <v>27</v>
      </c>
      <c r="D45" s="10">
        <f>Raw_Data!D45</f>
        <v>3217</v>
      </c>
      <c r="E45">
        <f>_xlfn.PERCENTRANK.INC(Raw_Data!$E$2:$E$60, Raw_Data!E45)</f>
        <v>0.68700000000000006</v>
      </c>
      <c r="F45">
        <f>_xlfn.PERCENTRANK.INC(Raw_Data!$F$2:$F$60, Raw_Data!F45)</f>
        <v>0.70799999999999996</v>
      </c>
      <c r="G45">
        <f>_xlfn.PERCENTRANK.INC(Raw_Data!$G$2:$G$60, Raw_Data!G45)</f>
        <v>0.75</v>
      </c>
      <c r="H45">
        <f>_xlfn.PERCENTRANK.INC(Raw_Data!$H$2:$H$60, Raw_Data!H45)</f>
        <v>0.60399999999999998</v>
      </c>
      <c r="I45">
        <f>_xlfn.PERCENTRANK.INC(Raw_Data!$I$2:$I$60, Raw_Data!I45)</f>
        <v>0.47899999999999998</v>
      </c>
      <c r="J45">
        <f>_xlfn.PERCENTRANK.INC(Raw_Data!$J$2:$J$60, Raw_Data!J45)</f>
        <v>0.52</v>
      </c>
      <c r="K45">
        <f>_xlfn.PERCENTRANK.INC(Raw_Data!$K$2:$K$60, Raw_Data!K45)</f>
        <v>0.625</v>
      </c>
      <c r="L45">
        <f>_xlfn.PERCENTRANK.INC(Raw_Data!$L$2:$L$60, Raw_Data!L45)</f>
        <v>0.27</v>
      </c>
      <c r="M45">
        <f>_xlfn.PERCENTRANK.INC(Raw_Data!$M$2:$M$60, Raw_Data!M45)</f>
        <v>0.64500000000000002</v>
      </c>
      <c r="N45">
        <f>Raw_Data!N45</f>
        <v>12.8</v>
      </c>
      <c r="O45">
        <f>Raw_Data!O45</f>
        <v>2.2000000000000002</v>
      </c>
      <c r="P45">
        <f>_xlfn.PERCENTRANK.INC(Raw_Data!$P$2:$P$60, Raw_Data!P45)</f>
        <v>0.187</v>
      </c>
      <c r="Q45">
        <f>_xlfn.PERCENTRANK.INC(Raw_Data!$Q$2:$Q$60, Raw_Data!Q45)</f>
        <v>0.83299999999999996</v>
      </c>
      <c r="R45">
        <f>_xlfn.PERCENTRANK.INC(Raw_Data!$R$2:$R$60, Raw_Data!R45)</f>
        <v>0.79100000000000004</v>
      </c>
      <c r="S45">
        <f>_xlfn.PERCENTRANK.INC(Raw_Data!$S$2:$S$60, Raw_Data!S45)</f>
        <v>0.375</v>
      </c>
      <c r="T45">
        <f>_xlfn.PERCENTRANK.INC(Raw_Data!$T$2:$T$60, Raw_Data!T45)</f>
        <v>0.29099999999999998</v>
      </c>
      <c r="U45">
        <f>_xlfn.PERCENTRANK.INC(Raw_Data!$U$2:$U$60, Raw_Data!U45)</f>
        <v>0.72899999999999998</v>
      </c>
    </row>
    <row r="46" spans="1:21" x14ac:dyDescent="0.2">
      <c r="A46" t="str">
        <f>Raw_Data!A46</f>
        <v>Willian</v>
      </c>
      <c r="B46" t="str">
        <f>Raw_Data!B46</f>
        <v>Fulham</v>
      </c>
      <c r="C46">
        <f>Raw_Data!C46</f>
        <v>34</v>
      </c>
      <c r="D46" s="10">
        <f>Raw_Data!D46</f>
        <v>2053</v>
      </c>
      <c r="E46">
        <f>_xlfn.PERCENTRANK.INC(Raw_Data!$E$2:$E$60, Raw_Data!E46)</f>
        <v>6.2E-2</v>
      </c>
      <c r="F46">
        <f>_xlfn.PERCENTRANK.INC(Raw_Data!$F$2:$F$60, Raw_Data!F46)</f>
        <v>0.14499999999999999</v>
      </c>
      <c r="G46">
        <f>_xlfn.PERCENTRANK.INC(Raw_Data!$G$2:$G$60, Raw_Data!G46)</f>
        <v>0.02</v>
      </c>
      <c r="H46">
        <f>_xlfn.PERCENTRANK.INC(Raw_Data!$H$2:$H$60, Raw_Data!H46)</f>
        <v>8.3000000000000004E-2</v>
      </c>
      <c r="I46">
        <f>_xlfn.PERCENTRANK.INC(Raw_Data!$I$2:$I$60, Raw_Data!I46)</f>
        <v>0.79100000000000004</v>
      </c>
      <c r="J46">
        <f>_xlfn.PERCENTRANK.INC(Raw_Data!$J$2:$J$60, Raw_Data!J46)</f>
        <v>0.5</v>
      </c>
      <c r="K46">
        <f>_xlfn.PERCENTRANK.INC(Raw_Data!$K$2:$K$60, Raw_Data!K46)</f>
        <v>0.187</v>
      </c>
      <c r="L46">
        <f>_xlfn.PERCENTRANK.INC(Raw_Data!$L$2:$L$60, Raw_Data!L46)</f>
        <v>0.41599999999999998</v>
      </c>
      <c r="M46">
        <f>_xlfn.PERCENTRANK.INC(Raw_Data!$M$2:$M$60, Raw_Data!M46)</f>
        <v>0.39500000000000002</v>
      </c>
      <c r="N46">
        <f>Raw_Data!N46</f>
        <v>20.399999999999999</v>
      </c>
      <c r="O46">
        <f>Raw_Data!O46</f>
        <v>-1.1000000000000001</v>
      </c>
      <c r="P46">
        <f>_xlfn.PERCENTRANK.INC(Raw_Data!$P$2:$P$60, Raw_Data!P46)</f>
        <v>1</v>
      </c>
      <c r="Q46">
        <f>_xlfn.PERCENTRANK.INC(Raw_Data!$Q$2:$Q$60, Raw_Data!Q46)</f>
        <v>0.79100000000000004</v>
      </c>
      <c r="R46">
        <f>_xlfn.PERCENTRANK.INC(Raw_Data!$R$2:$R$60, Raw_Data!R46)</f>
        <v>0.625</v>
      </c>
      <c r="S46">
        <f>_xlfn.PERCENTRANK.INC(Raw_Data!$S$2:$S$60, Raw_Data!S46)</f>
        <v>0.77</v>
      </c>
      <c r="T46">
        <f>_xlfn.PERCENTRANK.INC(Raw_Data!$T$2:$T$60, Raw_Data!T46)</f>
        <v>0.875</v>
      </c>
      <c r="U46">
        <f>_xlfn.PERCENTRANK.INC(Raw_Data!$U$2:$U$60, Raw_Data!U46)</f>
        <v>0.58299999999999996</v>
      </c>
    </row>
    <row r="47" spans="1:21" x14ac:dyDescent="0.2">
      <c r="A47" t="str">
        <f>Raw_Data!A47</f>
        <v>Callum Wilson</v>
      </c>
      <c r="B47" t="str">
        <f>Raw_Data!B47</f>
        <v>Newcastle Utd</v>
      </c>
      <c r="C47">
        <f>Raw_Data!C47</f>
        <v>31</v>
      </c>
      <c r="D47" s="10">
        <f>Raw_Data!D47</f>
        <v>991</v>
      </c>
      <c r="E47">
        <f>_xlfn.PERCENTRANK.INC(Raw_Data!$E$2:$E$60, Raw_Data!E47)</f>
        <v>0.72899999999999998</v>
      </c>
      <c r="F47">
        <f>_xlfn.PERCENTRANK.INC(Raw_Data!$F$2:$F$60, Raw_Data!F47)</f>
        <v>0.95799999999999996</v>
      </c>
      <c r="G47">
        <f>_xlfn.PERCENTRANK.INC(Raw_Data!$G$2:$G$60, Raw_Data!G47)</f>
        <v>0.95799999999999996</v>
      </c>
      <c r="H47">
        <f>_xlfn.PERCENTRANK.INC(Raw_Data!$H$2:$H$60, Raw_Data!H47)</f>
        <v>0.79100000000000004</v>
      </c>
      <c r="I47">
        <f>_xlfn.PERCENTRANK.INC(Raw_Data!$I$2:$I$60, Raw_Data!I47)</f>
        <v>0.27</v>
      </c>
      <c r="J47">
        <f>_xlfn.PERCENTRANK.INC(Raw_Data!$J$2:$J$60, Raw_Data!J47)</f>
        <v>0.437</v>
      </c>
      <c r="K47">
        <f>_xlfn.PERCENTRANK.INC(Raw_Data!$K$2:$K$60, Raw_Data!K47)</f>
        <v>0.39500000000000002</v>
      </c>
      <c r="L47">
        <f>_xlfn.PERCENTRANK.INC(Raw_Data!$L$2:$L$60, Raw_Data!L47)</f>
        <v>0.58299999999999996</v>
      </c>
      <c r="M47">
        <f>_xlfn.PERCENTRANK.INC(Raw_Data!$M$2:$M$60, Raw_Data!M47)</f>
        <v>0.95799999999999996</v>
      </c>
      <c r="N47">
        <f>Raw_Data!N47</f>
        <v>11.8</v>
      </c>
      <c r="O47">
        <f>Raw_Data!O47</f>
        <v>0.2</v>
      </c>
      <c r="P47">
        <f>_xlfn.PERCENTRANK.INC(Raw_Data!$P$2:$P$60, Raw_Data!P47)</f>
        <v>0.29099999999999998</v>
      </c>
      <c r="Q47">
        <f>_xlfn.PERCENTRANK.INC(Raw_Data!$Q$2:$Q$60, Raw_Data!Q47)</f>
        <v>0.02</v>
      </c>
      <c r="R47">
        <f>_xlfn.PERCENTRANK.INC(Raw_Data!$R$2:$R$60, Raw_Data!R47)</f>
        <v>0.125</v>
      </c>
      <c r="S47">
        <f>_xlfn.PERCENTRANK.INC(Raw_Data!$S$2:$S$60, Raw_Data!S47)</f>
        <v>0.125</v>
      </c>
      <c r="T47">
        <f>_xlfn.PERCENTRANK.INC(Raw_Data!$T$2:$T$60, Raw_Data!T47)</f>
        <v>0.187</v>
      </c>
      <c r="U47">
        <f>_xlfn.PERCENTRANK.INC(Raw_Data!$U$2:$U$60, Raw_Data!U47)</f>
        <v>0.187</v>
      </c>
    </row>
    <row r="48" spans="1:21" x14ac:dyDescent="0.2">
      <c r="A48" t="str">
        <f>Raw_Data!A48</f>
        <v>Harry Wilson</v>
      </c>
      <c r="B48" t="str">
        <f>Raw_Data!B48</f>
        <v>Fulham</v>
      </c>
      <c r="C48">
        <f>Raw_Data!C48</f>
        <v>26</v>
      </c>
      <c r="D48" s="10">
        <f>Raw_Data!D48</f>
        <v>1620</v>
      </c>
      <c r="E48">
        <f>_xlfn.PERCENTRANK.INC(Raw_Data!$E$2:$E$60, Raw_Data!E48)</f>
        <v>0.312</v>
      </c>
      <c r="F48">
        <f>_xlfn.PERCENTRANK.INC(Raw_Data!$F$2:$F$60, Raw_Data!F48)</f>
        <v>4.1000000000000002E-2</v>
      </c>
      <c r="G48">
        <f>_xlfn.PERCENTRANK.INC(Raw_Data!$G$2:$G$60, Raw_Data!G48)</f>
        <v>8.3000000000000004E-2</v>
      </c>
      <c r="H48">
        <f>_xlfn.PERCENTRANK.INC(Raw_Data!$H$2:$H$60, Raw_Data!H48)</f>
        <v>0</v>
      </c>
      <c r="I48">
        <f>_xlfn.PERCENTRANK.INC(Raw_Data!$I$2:$I$60, Raw_Data!I48)</f>
        <v>0.97899999999999998</v>
      </c>
      <c r="J48">
        <f>_xlfn.PERCENTRANK.INC(Raw_Data!$J$2:$J$60, Raw_Data!J48)</f>
        <v>0.81200000000000006</v>
      </c>
      <c r="K48">
        <f>_xlfn.PERCENTRANK.INC(Raw_Data!$K$2:$K$60, Raw_Data!K48)</f>
        <v>0.104</v>
      </c>
      <c r="L48">
        <f>_xlfn.PERCENTRANK.INC(Raw_Data!$L$2:$L$60, Raw_Data!L48)</f>
        <v>0.97899999999999998</v>
      </c>
      <c r="M48">
        <f>_xlfn.PERCENTRANK.INC(Raw_Data!$M$2:$M$60, Raw_Data!M48)</f>
        <v>0.187</v>
      </c>
      <c r="N48">
        <f>Raw_Data!N48</f>
        <v>19.100000000000001</v>
      </c>
      <c r="O48">
        <f>Raw_Data!O48</f>
        <v>0.6</v>
      </c>
      <c r="P48">
        <f>_xlfn.PERCENTRANK.INC(Raw_Data!$P$2:$P$60, Raw_Data!P48)</f>
        <v>0.75</v>
      </c>
      <c r="Q48">
        <f>_xlfn.PERCENTRANK.INC(Raw_Data!$Q$2:$Q$60, Raw_Data!Q48)</f>
        <v>0.35399999999999998</v>
      </c>
      <c r="R48">
        <f>_xlfn.PERCENTRANK.INC(Raw_Data!$R$2:$R$60, Raw_Data!R48)</f>
        <v>0.437</v>
      </c>
      <c r="S48">
        <f>_xlfn.PERCENTRANK.INC(Raw_Data!$S$2:$S$60, Raw_Data!S48)</f>
        <v>0.45800000000000002</v>
      </c>
      <c r="T48">
        <f>_xlfn.PERCENTRANK.INC(Raw_Data!$T$2:$T$60, Raw_Data!T48)</f>
        <v>0.58299999999999996</v>
      </c>
      <c r="U48">
        <f>_xlfn.PERCENTRANK.INC(Raw_Data!$U$2:$U$60, Raw_Data!U48)</f>
        <v>0.312</v>
      </c>
    </row>
    <row r="49" spans="1:21" x14ac:dyDescent="0.2">
      <c r="A49" t="str">
        <f>Raw_Data!A49</f>
        <v>Yoane Wissa</v>
      </c>
      <c r="B49" t="str">
        <f>Raw_Data!B49</f>
        <v>Brentford</v>
      </c>
      <c r="C49">
        <f>Raw_Data!C49</f>
        <v>26</v>
      </c>
      <c r="D49" s="10">
        <f>Raw_Data!D49</f>
        <v>2493</v>
      </c>
      <c r="E49">
        <f>_xlfn.PERCENTRANK.INC(Raw_Data!$E$2:$E$60, Raw_Data!E49)</f>
        <v>0.41599999999999998</v>
      </c>
      <c r="F49">
        <f>_xlfn.PERCENTRANK.INC(Raw_Data!$F$2:$F$60, Raw_Data!F49)</f>
        <v>0.5</v>
      </c>
      <c r="G49">
        <f>_xlfn.PERCENTRANK.INC(Raw_Data!$G$2:$G$60, Raw_Data!G49)</f>
        <v>0.58299999999999996</v>
      </c>
      <c r="H49">
        <f>_xlfn.PERCENTRANK.INC(Raw_Data!$H$2:$H$60, Raw_Data!H49)</f>
        <v>0.29099999999999998</v>
      </c>
      <c r="I49">
        <f>_xlfn.PERCENTRANK.INC(Raw_Data!$I$2:$I$60, Raw_Data!I49)</f>
        <v>0.68700000000000006</v>
      </c>
      <c r="J49">
        <f>_xlfn.PERCENTRANK.INC(Raw_Data!$J$2:$J$60, Raw_Data!J49)</f>
        <v>0.79100000000000004</v>
      </c>
      <c r="K49">
        <f>_xlfn.PERCENTRANK.INC(Raw_Data!$K$2:$K$60, Raw_Data!K49)</f>
        <v>0.625</v>
      </c>
      <c r="L49">
        <f>_xlfn.PERCENTRANK.INC(Raw_Data!$L$2:$L$60, Raw_Data!L49)</f>
        <v>0.79100000000000004</v>
      </c>
      <c r="M49">
        <f>_xlfn.PERCENTRANK.INC(Raw_Data!$M$2:$M$60, Raw_Data!M49)</f>
        <v>0.35399999999999998</v>
      </c>
      <c r="N49">
        <f>Raw_Data!N49</f>
        <v>12.9</v>
      </c>
      <c r="O49">
        <f>Raw_Data!O49</f>
        <v>1.4</v>
      </c>
      <c r="P49">
        <f>_xlfn.PERCENTRANK.INC(Raw_Data!$P$2:$P$60, Raw_Data!P49)</f>
        <v>0.02</v>
      </c>
      <c r="Q49">
        <f>_xlfn.PERCENTRANK.INC(Raw_Data!$Q$2:$Q$60, Raw_Data!Q49)</f>
        <v>0.60399999999999998</v>
      </c>
      <c r="R49">
        <f>_xlfn.PERCENTRANK.INC(Raw_Data!$R$2:$R$60, Raw_Data!R49)</f>
        <v>0.54100000000000004</v>
      </c>
      <c r="S49">
        <f>_xlfn.PERCENTRANK.INC(Raw_Data!$S$2:$S$60, Raw_Data!S49)</f>
        <v>0.35399999999999998</v>
      </c>
      <c r="T49">
        <f>_xlfn.PERCENTRANK.INC(Raw_Data!$T$2:$T$60, Raw_Data!T49)</f>
        <v>0.375</v>
      </c>
      <c r="U49">
        <f>_xlfn.PERCENTRANK.INC(Raw_Data!$U$2:$U$60, Raw_Data!U49)</f>
        <v>0.375</v>
      </c>
    </row>
    <row r="50" spans="1:21" x14ac:dyDescent="0.2">
      <c r="A50" t="str">
        <f>Raw_Data!A50</f>
        <v>Chris Wood</v>
      </c>
      <c r="B50" t="str">
        <f>Raw_Data!B50</f>
        <v>Nott'ham Forest</v>
      </c>
      <c r="C50">
        <f>Raw_Data!C50</f>
        <v>31</v>
      </c>
      <c r="D50" s="10">
        <f>Raw_Data!D50</f>
        <v>1812</v>
      </c>
      <c r="E50">
        <f>_xlfn.PERCENTRANK.INC(Raw_Data!$E$2:$E$60, Raw_Data!E50)</f>
        <v>0.375</v>
      </c>
      <c r="F50">
        <f>_xlfn.PERCENTRANK.INC(Raw_Data!$F$2:$F$60, Raw_Data!F50)</f>
        <v>0.85399999999999998</v>
      </c>
      <c r="G50">
        <f>_xlfn.PERCENTRANK.INC(Raw_Data!$G$2:$G$60, Raw_Data!G50)</f>
        <v>0.89500000000000002</v>
      </c>
      <c r="H50">
        <f>_xlfn.PERCENTRANK.INC(Raw_Data!$H$2:$H$60, Raw_Data!H50)</f>
        <v>0.33300000000000002</v>
      </c>
      <c r="I50">
        <f>_xlfn.PERCENTRANK.INC(Raw_Data!$I$2:$I$60, Raw_Data!I50)</f>
        <v>0.60399999999999998</v>
      </c>
      <c r="J50">
        <f>_xlfn.PERCENTRANK.INC(Raw_Data!$J$2:$J$60, Raw_Data!J50)</f>
        <v>0.75</v>
      </c>
      <c r="K50">
        <f>_xlfn.PERCENTRANK.INC(Raw_Data!$K$2:$K$60, Raw_Data!K50)</f>
        <v>0.91600000000000004</v>
      </c>
      <c r="L50">
        <f>_xlfn.PERCENTRANK.INC(Raw_Data!$L$2:$L$60, Raw_Data!L50)</f>
        <v>0.02</v>
      </c>
      <c r="M50">
        <f>_xlfn.PERCENTRANK.INC(Raw_Data!$M$2:$M$60, Raw_Data!M50)</f>
        <v>0.93700000000000006</v>
      </c>
      <c r="N50">
        <f>Raw_Data!N50</f>
        <v>10.199999999999999</v>
      </c>
      <c r="O50">
        <f>Raw_Data!O50</f>
        <v>2.1</v>
      </c>
      <c r="P50">
        <f>_xlfn.PERCENTRANK.INC(Raw_Data!$P$2:$P$60, Raw_Data!P50)</f>
        <v>0.312</v>
      </c>
      <c r="Q50">
        <f>_xlfn.PERCENTRANK.INC(Raw_Data!$Q$2:$Q$60, Raw_Data!Q50)</f>
        <v>0.35399999999999998</v>
      </c>
      <c r="R50">
        <f>_xlfn.PERCENTRANK.INC(Raw_Data!$R$2:$R$60, Raw_Data!R50)</f>
        <v>8.3000000000000004E-2</v>
      </c>
      <c r="S50">
        <f>_xlfn.PERCENTRANK.INC(Raw_Data!$S$2:$S$60, Raw_Data!S50)</f>
        <v>8.3000000000000004E-2</v>
      </c>
      <c r="T50">
        <f>_xlfn.PERCENTRANK.INC(Raw_Data!$T$2:$T$60, Raw_Data!T50)</f>
        <v>4.1000000000000002E-2</v>
      </c>
      <c r="U50">
        <f>_xlfn.PERCENTRANK.INC(Raw_Data!$U$2:$U$60, Raw_Data!U50)</f>
        <v>0.104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E369-349B-2549-A4A2-20C00CCE8E12}">
  <dimension ref="A1:E50"/>
  <sheetViews>
    <sheetView workbookViewId="0">
      <selection activeCell="B25" sqref="B25"/>
    </sheetView>
  </sheetViews>
  <sheetFormatPr baseColWidth="10" defaultRowHeight="16" x14ac:dyDescent="0.2"/>
  <cols>
    <col min="1" max="1" width="20.5" customWidth="1"/>
    <col min="2" max="2" width="14.5" customWidth="1"/>
    <col min="3" max="3" width="13.6640625" customWidth="1"/>
    <col min="4" max="4" width="15.1640625" customWidth="1"/>
    <col min="5" max="5" width="13.1640625" customWidth="1"/>
  </cols>
  <sheetData>
    <row r="1" spans="1:5" s="15" customFormat="1" x14ac:dyDescent="0.2">
      <c r="A1" s="15" t="s">
        <v>0</v>
      </c>
      <c r="B1" s="15" t="s">
        <v>89</v>
      </c>
      <c r="C1" s="15" t="s">
        <v>90</v>
      </c>
      <c r="D1" s="15" t="s">
        <v>91</v>
      </c>
      <c r="E1" s="15" t="s">
        <v>92</v>
      </c>
    </row>
    <row r="2" spans="1:5" x14ac:dyDescent="0.2">
      <c r="A2" t="str">
        <f>Normalized!A34</f>
        <v>Rodrigo Muniz</v>
      </c>
      <c r="B2">
        <f>0.3*Normalized!H34
+0.3*Normalized!F34
+0.15*Normalized!I34
+0.15*Normalized!K34
+0.1*Normalized!L34</f>
        <v>0.81005000000000005</v>
      </c>
      <c r="C2">
        <f>0.3*Normalized!P34
+0.3*Normalized!R34
+0.25*Normalized!Q34
+0.15*Normalized!H34</f>
        <v>0.23804999999999998</v>
      </c>
      <c r="D2">
        <f>0.3*Normalized!S34
+0.3*Normalized!T34
+0.25*Normalized!U34
+0.15*Normalized!E34</f>
        <v>0.15284999999999999</v>
      </c>
      <c r="E2">
        <f>0.35*Normalized!J34
+0.25*Normalized!L34
+0.25*Normalized!P34
+0.15*Normalized!H34</f>
        <v>0.5754999999999999</v>
      </c>
    </row>
    <row r="3" spans="1:5" x14ac:dyDescent="0.2">
      <c r="A3" t="str">
        <f>Normalized!A9</f>
        <v>Beto</v>
      </c>
      <c r="B3">
        <f>0.3*Normalized!H9
+0.3*Normalized!F9
+0.15*Normalized!I9
+0.15*Normalized!K9
+0.1*Normalized!L9</f>
        <v>0.80475000000000008</v>
      </c>
      <c r="C3">
        <f>0.3*Normalized!P9
+0.3*Normalized!R9
+0.25*Normalized!Q9
+0.15*Normalized!H9</f>
        <v>0.23194999999999999</v>
      </c>
      <c r="D3">
        <f>0.3*Normalized!S9
+0.3*Normalized!T9
+0.25*Normalized!U9
+0.15*Normalized!E9</f>
        <v>0.31840000000000002</v>
      </c>
      <c r="E3">
        <f>0.35*Normalized!J9
+0.25*Normalized!L9
+0.25*Normalized!P9
+0.15*Normalized!H9</f>
        <v>0.65079999999999993</v>
      </c>
    </row>
    <row r="4" spans="1:5" x14ac:dyDescent="0.2">
      <c r="A4" t="str">
        <f>Normalized!A36</f>
        <v>Darwin Núñez</v>
      </c>
      <c r="B4">
        <f>0.3*Normalized!H36
+0.3*Normalized!F36
+0.15*Normalized!I36
+0.15*Normalized!K36
+0.1*Normalized!L36</f>
        <v>0.76294999999999991</v>
      </c>
      <c r="C4">
        <f>0.3*Normalized!P36
+0.3*Normalized!R36
+0.25*Normalized!Q36
+0.15*Normalized!H36</f>
        <v>0.67019999999999991</v>
      </c>
      <c r="D4">
        <f>0.3*Normalized!S36
+0.3*Normalized!T36
+0.25*Normalized!U36
+0.15*Normalized!E36</f>
        <v>0.58704999999999996</v>
      </c>
      <c r="E4">
        <f>0.35*Normalized!J36
+0.25*Normalized!L36
+0.25*Normalized!P36
+0.15*Normalized!H36</f>
        <v>0.44099999999999995</v>
      </c>
    </row>
    <row r="5" spans="1:5" x14ac:dyDescent="0.2">
      <c r="A5" t="str">
        <f>Normalized!A38</f>
        <v>Richarlison</v>
      </c>
      <c r="B5">
        <f>0.3*Normalized!H38
+0.3*Normalized!F38
+0.15*Normalized!I38
+0.15*Normalized!K38
+0.1*Normalized!L38</f>
        <v>0.7609999999999999</v>
      </c>
      <c r="C5">
        <f>0.3*Normalized!P38
+0.3*Normalized!R38
+0.25*Normalized!Q38
+0.15*Normalized!H38</f>
        <v>0.39850000000000002</v>
      </c>
      <c r="D5">
        <f>0.3*Normalized!S38
+0.3*Normalized!T38
+0.25*Normalized!U38
+0.15*Normalized!E38</f>
        <v>0.41205000000000003</v>
      </c>
      <c r="E5">
        <f>0.35*Normalized!J38
+0.25*Normalized!L38
+0.25*Normalized!P38
+0.15*Normalized!H38</f>
        <v>0.51629999999999998</v>
      </c>
    </row>
    <row r="6" spans="1:5" x14ac:dyDescent="0.2">
      <c r="A6" t="str">
        <f>Normalized!A17</f>
        <v>Erling Haaland</v>
      </c>
      <c r="B6">
        <f>0.3*Normalized!H17
+0.3*Normalized!F17
+0.15*Normalized!I17
+0.15*Normalized!K17
+0.1*Normalized!L17</f>
        <v>0.75609999999999999</v>
      </c>
      <c r="C6">
        <f>0.3*Normalized!P17
+0.3*Normalized!R17
+0.25*Normalized!Q17
+0.15*Normalized!H17</f>
        <v>0.35680000000000001</v>
      </c>
      <c r="D6">
        <f>0.3*Normalized!S17
+0.3*Normalized!T17
+0.25*Normalized!U17
+0.15*Normalized!E17</f>
        <v>0.32239999999999996</v>
      </c>
      <c r="E6">
        <f>0.35*Normalized!J17
+0.25*Normalized!L17
+0.25*Normalized!P17
+0.15*Normalized!H17</f>
        <v>0.48614999999999997</v>
      </c>
    </row>
    <row r="7" spans="1:5" x14ac:dyDescent="0.2">
      <c r="A7" t="str">
        <f>Normalized!A47</f>
        <v>Callum Wilson</v>
      </c>
      <c r="B7">
        <f>0.3*Normalized!H47
+0.3*Normalized!F47
+0.15*Normalized!I47
+0.15*Normalized!K47
+0.1*Normalized!L47</f>
        <v>0.68274999999999997</v>
      </c>
      <c r="C7">
        <f>0.3*Normalized!P47
+0.3*Normalized!R47
+0.25*Normalized!Q47
+0.15*Normalized!H47</f>
        <v>0.24845</v>
      </c>
      <c r="D7">
        <f>0.3*Normalized!S47
+0.3*Normalized!T47
+0.25*Normalized!U47
+0.15*Normalized!E47</f>
        <v>0.24969999999999998</v>
      </c>
      <c r="E7">
        <f>0.35*Normalized!J47
+0.25*Normalized!L47
+0.25*Normalized!P47
+0.15*Normalized!H47</f>
        <v>0.49009999999999998</v>
      </c>
    </row>
    <row r="8" spans="1:5" x14ac:dyDescent="0.2">
      <c r="A8" t="str">
        <f>Normalized!A11</f>
        <v>Dominic Calvert-Lewin</v>
      </c>
      <c r="B8">
        <f>0.3*Normalized!H11
+0.3*Normalized!F11
+0.15*Normalized!I11
+0.15*Normalized!K11
+0.1*Normalized!L11</f>
        <v>0.68074999999999997</v>
      </c>
      <c r="C8">
        <f>0.3*Normalized!P11
+0.3*Normalized!R11
+0.25*Normalized!Q11
+0.15*Normalized!H11</f>
        <v>0.35594999999999999</v>
      </c>
      <c r="D8">
        <f>0.3*Normalized!S11
+0.3*Normalized!T11
+0.25*Normalized!U11
+0.15*Normalized!E11</f>
        <v>0.3599</v>
      </c>
      <c r="E8">
        <f>0.35*Normalized!J11
+0.25*Normalized!L11
+0.25*Normalized!P11
+0.15*Normalized!H11</f>
        <v>0.58600000000000008</v>
      </c>
    </row>
    <row r="9" spans="1:5" x14ac:dyDescent="0.2">
      <c r="A9" t="str">
        <f>Normalized!A31</f>
        <v>Oliver McBurnie</v>
      </c>
      <c r="B9">
        <f>0.3*Normalized!H31
+0.3*Normalized!F31
+0.15*Normalized!I31
+0.15*Normalized!K31
+0.1*Normalized!L31</f>
        <v>0.65180000000000005</v>
      </c>
      <c r="C9">
        <f>0.3*Normalized!P31
+0.3*Normalized!R31
+0.25*Normalized!Q31
+0.15*Normalized!H31</f>
        <v>0.28885</v>
      </c>
      <c r="D9">
        <f>0.3*Normalized!S31
+0.3*Normalized!T31
+0.25*Normalized!U31
+0.15*Normalized!E31</f>
        <v>4.65E-2</v>
      </c>
      <c r="E9">
        <f>0.35*Normalized!J31
+0.25*Normalized!L31
+0.25*Normalized!P31
+0.15*Normalized!H31</f>
        <v>0.75679999999999992</v>
      </c>
    </row>
    <row r="10" spans="1:5" x14ac:dyDescent="0.2">
      <c r="A10" t="str">
        <f>Normalized!A39</f>
        <v>Bukayo Saka</v>
      </c>
      <c r="B10">
        <f>0.3*Normalized!H39
+0.3*Normalized!F39
+0.15*Normalized!I39
+0.15*Normalized!K39
+0.1*Normalized!L39</f>
        <v>0.64359999999999995</v>
      </c>
      <c r="C10">
        <f>0.3*Normalized!P39
+0.3*Normalized!R39
+0.25*Normalized!Q39
+0.15*Normalized!H39</f>
        <v>0.9686499999999999</v>
      </c>
      <c r="D10">
        <f>0.3*Normalized!S39
+0.3*Normalized!T39
+0.25*Normalized!U39
+0.15*Normalized!E39</f>
        <v>0.86410000000000009</v>
      </c>
      <c r="E10">
        <f>0.35*Normalized!J39
+0.25*Normalized!L39
+0.25*Normalized!P39
+0.15*Normalized!H39</f>
        <v>0.80904999999999994</v>
      </c>
    </row>
    <row r="11" spans="1:5" x14ac:dyDescent="0.2">
      <c r="A11" t="str">
        <f>Normalized!A35</f>
        <v>Eddie Nketiah</v>
      </c>
      <c r="B11">
        <f>0.3*Normalized!H35
+0.3*Normalized!F35
+0.15*Normalized!I35
+0.15*Normalized!K35
+0.1*Normalized!L35</f>
        <v>0.64029999999999998</v>
      </c>
      <c r="C11">
        <f>0.3*Normalized!P35
+0.3*Normalized!R35
+0.25*Normalized!Q35
+0.15*Normalized!H35</f>
        <v>0.2339</v>
      </c>
      <c r="D11">
        <f>0.3*Normalized!S35
+0.3*Normalized!T35
+0.25*Normalized!U35
+0.15*Normalized!E35</f>
        <v>0.35885</v>
      </c>
      <c r="E11">
        <f>0.35*Normalized!J35
+0.25*Normalized!L35
+0.25*Normalized!P35
+0.15*Normalized!H35</f>
        <v>0.71629999999999994</v>
      </c>
    </row>
    <row r="12" spans="1:5" x14ac:dyDescent="0.2">
      <c r="A12" t="str">
        <f>Normalized!A40</f>
        <v>Mohamed Salah</v>
      </c>
      <c r="B12">
        <f>0.3*Normalized!H40
+0.3*Normalized!F40
+0.15*Normalized!I40
+0.15*Normalized!K40
+0.1*Normalized!L40</f>
        <v>0.6371</v>
      </c>
      <c r="C12">
        <f>0.3*Normalized!P40
+0.3*Normalized!R40
+0.25*Normalized!Q40
+0.15*Normalized!H40</f>
        <v>0.93910000000000005</v>
      </c>
      <c r="D12">
        <f>0.3*Normalized!S40
+0.3*Normalized!T40
+0.25*Normalized!U40
+0.15*Normalized!E40</f>
        <v>0.75339999999999996</v>
      </c>
      <c r="E12">
        <f>0.35*Normalized!J40
+0.25*Normalized!L40
+0.25*Normalized!P40
+0.15*Normalized!H40</f>
        <v>0.47149999999999997</v>
      </c>
    </row>
    <row r="13" spans="1:5" x14ac:dyDescent="0.2">
      <c r="A13" t="str">
        <f>Normalized!A42</f>
        <v>Dominic Solanke</v>
      </c>
      <c r="B13">
        <f>0.3*Normalized!H42
+0.3*Normalized!F42
+0.15*Normalized!I42
+0.15*Normalized!K42
+0.1*Normalized!L42</f>
        <v>0.63705000000000001</v>
      </c>
      <c r="C13">
        <f>0.3*Normalized!P42
+0.3*Normalized!R42
+0.25*Normalized!Q42
+0.15*Normalized!H42</f>
        <v>0.50465000000000004</v>
      </c>
      <c r="D13">
        <f>0.3*Normalized!S42
+0.3*Normalized!T42
+0.25*Normalized!U42
+0.15*Normalized!E42</f>
        <v>0.37480000000000002</v>
      </c>
      <c r="E13">
        <f>0.35*Normalized!J42
+0.25*Normalized!L42
+0.25*Normalized!P42
+0.15*Normalized!H42</f>
        <v>0.43190000000000001</v>
      </c>
    </row>
    <row r="14" spans="1:5" x14ac:dyDescent="0.2">
      <c r="A14" t="str">
        <f>Normalized!A25</f>
        <v>Diogo Jota</v>
      </c>
      <c r="B14">
        <f>0.3*Normalized!H25
+0.3*Normalized!F25
+0.15*Normalized!I25
+0.15*Normalized!K25
+0.1*Normalized!L25</f>
        <v>0.63195000000000001</v>
      </c>
      <c r="C14">
        <f>0.3*Normalized!P25
+0.3*Normalized!R25
+0.25*Normalized!Q25
+0.15*Normalized!H25</f>
        <v>0.54135</v>
      </c>
      <c r="D14">
        <f>0.3*Normalized!S25
+0.3*Normalized!T25
+0.25*Normalized!U25
+0.15*Normalized!E25</f>
        <v>0.69755</v>
      </c>
      <c r="E14">
        <f>0.35*Normalized!J25
+0.25*Normalized!L25
+0.25*Normalized!P25
+0.15*Normalized!H25</f>
        <v>0.57750000000000001</v>
      </c>
    </row>
    <row r="15" spans="1:5" x14ac:dyDescent="0.2">
      <c r="A15" t="str">
        <f>Normalized!A22</f>
        <v>Gabriel Jesus</v>
      </c>
      <c r="B15">
        <f>0.3*Normalized!H22
+0.3*Normalized!F22
+0.15*Normalized!I22
+0.15*Normalized!K22
+0.1*Normalized!L22</f>
        <v>0.62050000000000005</v>
      </c>
      <c r="C15">
        <f>0.3*Normalized!P22
+0.3*Normalized!R22
+0.25*Normalized!Q22
+0.15*Normalized!H22</f>
        <v>0.68799999999999994</v>
      </c>
      <c r="D15">
        <f>0.3*Normalized!S22
+0.3*Normalized!T22
+0.25*Normalized!U22
+0.15*Normalized!E22</f>
        <v>0.56410000000000005</v>
      </c>
      <c r="E15">
        <f>0.35*Normalized!J22
+0.25*Normalized!L22
+0.25*Normalized!P22
+0.15*Normalized!H22</f>
        <v>0.62539999999999996</v>
      </c>
    </row>
    <row r="16" spans="1:5" x14ac:dyDescent="0.2">
      <c r="A16" t="str">
        <f>Normalized!A21</f>
        <v>Nicolas Jackson</v>
      </c>
      <c r="B16">
        <f>0.3*Normalized!H21
+0.3*Normalized!F21
+0.15*Normalized!I21
+0.15*Normalized!K21
+0.1*Normalized!L21</f>
        <v>0.60470000000000002</v>
      </c>
      <c r="C16">
        <f>0.3*Normalized!P21
+0.3*Normalized!R21
+0.25*Normalized!Q21
+0.15*Normalized!H21</f>
        <v>0.59024999999999994</v>
      </c>
      <c r="D16">
        <f>0.3*Normalized!S21
+0.3*Normalized!T21
+0.25*Normalized!U21
+0.15*Normalized!E21</f>
        <v>0.5161</v>
      </c>
      <c r="E16">
        <f>0.35*Normalized!J21
+0.25*Normalized!L21
+0.25*Normalized!P21
+0.15*Normalized!H21</f>
        <v>0.40234999999999999</v>
      </c>
    </row>
    <row r="17" spans="1:5" x14ac:dyDescent="0.2">
      <c r="A17" t="str">
        <f>Normalized!A13</f>
        <v>Luis Díaz</v>
      </c>
      <c r="B17">
        <f>0.3*Normalized!H13
+0.3*Normalized!F13
+0.15*Normalized!I13
+0.15*Normalized!K13
+0.1*Normalized!L13</f>
        <v>0.58914999999999995</v>
      </c>
      <c r="C17">
        <f>0.3*Normalized!P13
+0.3*Normalized!R13
+0.25*Normalized!Q13
+0.15*Normalized!H13</f>
        <v>0.89019999999999999</v>
      </c>
      <c r="D17">
        <f>0.3*Normalized!S13
+0.3*Normalized!T13
+0.25*Normalized!U13
+0.15*Normalized!E13</f>
        <v>0.87475000000000003</v>
      </c>
      <c r="E17">
        <f>0.35*Normalized!J13
+0.25*Normalized!L13
+0.25*Normalized!P13
+0.15*Normalized!H13</f>
        <v>0.59970000000000001</v>
      </c>
    </row>
    <row r="18" spans="1:5" x14ac:dyDescent="0.2">
      <c r="A18" t="str">
        <f>Normalized!A45</f>
        <v>Ollie Watkins</v>
      </c>
      <c r="B18">
        <f>0.3*Normalized!H45
+0.3*Normalized!F45
+0.15*Normalized!I45
+0.15*Normalized!K45
+0.1*Normalized!L45</f>
        <v>0.58619999999999994</v>
      </c>
      <c r="C18">
        <f>0.3*Normalized!P45
+0.3*Normalized!R45
+0.25*Normalized!Q45
+0.15*Normalized!H45</f>
        <v>0.59224999999999994</v>
      </c>
      <c r="D18">
        <f>0.3*Normalized!S45
+0.3*Normalized!T45
+0.25*Normalized!U45
+0.15*Normalized!E45</f>
        <v>0.48509999999999998</v>
      </c>
      <c r="E18">
        <f>0.35*Normalized!J45
+0.25*Normalized!L45
+0.25*Normalized!P45
+0.15*Normalized!H45</f>
        <v>0.38685000000000003</v>
      </c>
    </row>
    <row r="19" spans="1:5" x14ac:dyDescent="0.2">
      <c r="A19" t="str">
        <f>Normalized!A50</f>
        <v>Chris Wood</v>
      </c>
      <c r="B19">
        <f>0.3*Normalized!H50
+0.3*Normalized!F50
+0.15*Normalized!I50
+0.15*Normalized!K50
+0.1*Normalized!L50</f>
        <v>0.58609999999999995</v>
      </c>
      <c r="C19">
        <f>0.3*Normalized!P50
+0.3*Normalized!R50
+0.25*Normalized!Q50
+0.15*Normalized!H50</f>
        <v>0.25695000000000001</v>
      </c>
      <c r="D19">
        <f>0.3*Normalized!S50
+0.3*Normalized!T50
+0.25*Normalized!U50
+0.15*Normalized!E50</f>
        <v>0.11945</v>
      </c>
      <c r="E19">
        <f>0.35*Normalized!J50
+0.25*Normalized!L50
+0.25*Normalized!P50
+0.15*Normalized!H50</f>
        <v>0.39544999999999997</v>
      </c>
    </row>
    <row r="20" spans="1:5" x14ac:dyDescent="0.2">
      <c r="A20" t="str">
        <f>Normalized!A20</f>
        <v>Alexander Isak</v>
      </c>
      <c r="B20">
        <f>0.3*Normalized!H20
+0.3*Normalized!F20
+0.15*Normalized!I20
+0.15*Normalized!K20
+0.1*Normalized!L20</f>
        <v>0.58094999999999997</v>
      </c>
      <c r="C20">
        <f>0.3*Normalized!P20
+0.3*Normalized!R20
+0.25*Normalized!Q20
+0.15*Normalized!H20</f>
        <v>0.37159999999999999</v>
      </c>
      <c r="D20">
        <f>0.3*Normalized!S20
+0.3*Normalized!T20
+0.25*Normalized!U20
+0.15*Normalized!E20</f>
        <v>0.57569999999999999</v>
      </c>
      <c r="E20">
        <f>0.35*Normalized!J20
+0.25*Normalized!L20
+0.25*Normalized!P20
+0.15*Normalized!H20</f>
        <v>0.12990000000000002</v>
      </c>
    </row>
    <row r="21" spans="1:5" x14ac:dyDescent="0.2">
      <c r="A21" t="str">
        <f>Normalized!A44</f>
        <v>Ivan Toney</v>
      </c>
      <c r="B21">
        <f>0.3*Normalized!H44
+0.3*Normalized!F44
+0.15*Normalized!I44
+0.15*Normalized!K44
+0.1*Normalized!L44</f>
        <v>0.56324999999999992</v>
      </c>
      <c r="C21">
        <f>0.3*Normalized!P44
+0.3*Normalized!R44
+0.25*Normalized!Q44
+0.15*Normalized!H44</f>
        <v>0.29874999999999996</v>
      </c>
      <c r="D21">
        <f>0.3*Normalized!S44
+0.3*Normalized!T44
+0.25*Normalized!U44
+0.15*Normalized!E44</f>
        <v>0.3589</v>
      </c>
      <c r="E21">
        <f>0.35*Normalized!J44
+0.25*Normalized!L44
+0.25*Normalized!P44
+0.15*Normalized!H44</f>
        <v>0.65799999999999992</v>
      </c>
    </row>
    <row r="22" spans="1:5" x14ac:dyDescent="0.2">
      <c r="A22" t="str">
        <f>Normalized!A30</f>
        <v>Bryan Mbeumo</v>
      </c>
      <c r="B22">
        <f>0.3*Normalized!H30
+0.3*Normalized!F30
+0.15*Normalized!I30
+0.15*Normalized!K30
+0.1*Normalized!L30</f>
        <v>0.55894999999999995</v>
      </c>
      <c r="C22">
        <f>0.3*Normalized!P30
+0.3*Normalized!R30
+0.25*Normalized!Q30
+0.15*Normalized!H30</f>
        <v>0.65474999999999994</v>
      </c>
      <c r="D22">
        <f>0.3*Normalized!S30
+0.3*Normalized!T30
+0.25*Normalized!U30
+0.15*Normalized!E30</f>
        <v>0.61320000000000008</v>
      </c>
      <c r="E22">
        <f>0.35*Normalized!J30
+0.25*Normalized!L30
+0.25*Normalized!P30
+0.15*Normalized!H30</f>
        <v>0.56735000000000002</v>
      </c>
    </row>
    <row r="23" spans="1:5" x14ac:dyDescent="0.2">
      <c r="A23" t="str">
        <f>Normalized!A29</f>
        <v>Neal Maupay</v>
      </c>
      <c r="B23">
        <f>0.3*Normalized!H29
+0.3*Normalized!F29
+0.15*Normalized!I29
+0.15*Normalized!K29
+0.1*Normalized!L29</f>
        <v>0.51855000000000007</v>
      </c>
      <c r="C23">
        <f>0.3*Normalized!P29
+0.3*Normalized!R29
+0.25*Normalized!Q29
+0.15*Normalized!H29</f>
        <v>0.29544999999999999</v>
      </c>
      <c r="D23">
        <f>0.3*Normalized!S29
+0.3*Normalized!T29
+0.25*Normalized!U29
+0.15*Normalized!E29</f>
        <v>0.26934999999999998</v>
      </c>
      <c r="E23">
        <f>0.35*Normalized!J29
+0.25*Normalized!L29
+0.25*Normalized!P29
+0.15*Normalized!H29</f>
        <v>0.38100000000000001</v>
      </c>
    </row>
    <row r="24" spans="1:5" x14ac:dyDescent="0.2">
      <c r="A24" t="str">
        <f>Normalized!A49</f>
        <v>Yoane Wissa</v>
      </c>
      <c r="B24">
        <f>0.3*Normalized!H49
+0.3*Normalized!F49
+0.15*Normalized!I49
+0.15*Normalized!K49
+0.1*Normalized!L49</f>
        <v>0.51319999999999999</v>
      </c>
      <c r="C24">
        <f>0.3*Normalized!P49
+0.3*Normalized!R49
+0.25*Normalized!Q49
+0.15*Normalized!H49</f>
        <v>0.36294999999999999</v>
      </c>
      <c r="D24">
        <f>0.3*Normalized!S49
+0.3*Normalized!T49
+0.25*Normalized!U49
+0.15*Normalized!E49</f>
        <v>0.37485000000000002</v>
      </c>
      <c r="E24">
        <f>0.35*Normalized!J49
+0.25*Normalized!L49
+0.25*Normalized!P49
+0.15*Normalized!H49</f>
        <v>0.52324999999999999</v>
      </c>
    </row>
    <row r="25" spans="1:5" x14ac:dyDescent="0.2">
      <c r="A25" t="str">
        <f>Normalized!A23</f>
        <v>Raúl Jiménez</v>
      </c>
      <c r="B25">
        <f>0.3*Normalized!H23
+0.3*Normalized!F23
+0.15*Normalized!I23
+0.15*Normalized!K23
+0.1*Normalized!L23</f>
        <v>0.50150000000000006</v>
      </c>
      <c r="C25">
        <f>0.3*Normalized!P23
+0.3*Normalized!R23
+0.25*Normalized!Q23
+0.15*Normalized!H23</f>
        <v>0.26</v>
      </c>
      <c r="D25">
        <f>0.3*Normalized!S23
+0.3*Normalized!T23
+0.25*Normalized!U23
+0.15*Normalized!E23</f>
        <v>0.16294999999999998</v>
      </c>
      <c r="E25">
        <f>0.35*Normalized!J23
+0.25*Normalized!L23
+0.25*Normalized!P23
+0.15*Normalized!H23</f>
        <v>0.5442499999999999</v>
      </c>
    </row>
    <row r="26" spans="1:5" x14ac:dyDescent="0.2">
      <c r="A26" t="str">
        <f>Normalized!A15</f>
        <v>Alejandro Garnacho</v>
      </c>
      <c r="B26">
        <f>0.3*Normalized!H15
+0.3*Normalized!F15
+0.15*Normalized!I15
+0.15*Normalized!K15
+0.1*Normalized!L15</f>
        <v>0.48409999999999992</v>
      </c>
      <c r="C26">
        <f>0.3*Normalized!P15
+0.3*Normalized!R15
+0.25*Normalized!Q15
+0.15*Normalized!H15</f>
        <v>0.87799999999999989</v>
      </c>
      <c r="D26">
        <f>0.3*Normalized!S15
+0.3*Normalized!T15
+0.25*Normalized!U15
+0.15*Normalized!E15</f>
        <v>0.95604999999999996</v>
      </c>
      <c r="E26">
        <f>0.35*Normalized!J15
+0.25*Normalized!L15
+0.25*Normalized!P15
+0.15*Normalized!H15</f>
        <v>0.56509999999999994</v>
      </c>
    </row>
    <row r="27" spans="1:5" x14ac:dyDescent="0.2">
      <c r="A27" t="str">
        <f>Normalized!A24</f>
        <v>Brennan Johnson</v>
      </c>
      <c r="B27">
        <f>0.3*Normalized!H24
+0.3*Normalized!F24
+0.15*Normalized!I24
+0.15*Normalized!K24
+0.1*Normalized!L24</f>
        <v>0.47669999999999996</v>
      </c>
      <c r="C27">
        <f>0.3*Normalized!P24
+0.3*Normalized!R24
+0.25*Normalized!Q24
+0.15*Normalized!H24</f>
        <v>0.77675000000000005</v>
      </c>
      <c r="D27">
        <f>0.3*Normalized!S24
+0.3*Normalized!T24
+0.25*Normalized!U24
+0.15*Normalized!E24</f>
        <v>0.64534999999999998</v>
      </c>
      <c r="E27">
        <f>0.35*Normalized!J24
+0.25*Normalized!L24
+0.25*Normalized!P24
+0.15*Normalized!H24</f>
        <v>0.38105</v>
      </c>
    </row>
    <row r="28" spans="1:5" x14ac:dyDescent="0.2">
      <c r="A28" t="str">
        <f>Normalized!A27</f>
        <v>Gabriel Martinelli</v>
      </c>
      <c r="B28">
        <f>0.3*Normalized!H27
+0.3*Normalized!F27
+0.15*Normalized!I27
+0.15*Normalized!K27
+0.1*Normalized!L27</f>
        <v>0.45999999999999996</v>
      </c>
      <c r="C28">
        <f>0.3*Normalized!P27
+0.3*Normalized!R27
+0.25*Normalized!Q27
+0.15*Normalized!H27</f>
        <v>0.94355</v>
      </c>
      <c r="D28">
        <f>0.3*Normalized!S27
+0.3*Normalized!T27
+0.25*Normalized!U27
+0.15*Normalized!E27</f>
        <v>0.88180000000000014</v>
      </c>
      <c r="E28">
        <f>0.35*Normalized!J27
+0.25*Normalized!L27
+0.25*Normalized!P27
+0.15*Normalized!H27</f>
        <v>0.6018</v>
      </c>
    </row>
    <row r="29" spans="1:5" x14ac:dyDescent="0.2">
      <c r="A29" t="str">
        <f>Normalized!A8</f>
        <v>Taiwo Awoniyi</v>
      </c>
      <c r="B29">
        <f>0.3*Normalized!H8
+0.3*Normalized!F8
+0.15*Normalized!I8
+0.15*Normalized!K8
+0.1*Normalized!L8</f>
        <v>0.45394999999999996</v>
      </c>
      <c r="C29">
        <f>0.3*Normalized!P8
+0.3*Normalized!R8
+0.25*Normalized!Q8
+0.15*Normalized!H8</f>
        <v>5.8099999999999999E-2</v>
      </c>
      <c r="D29">
        <f>0.3*Normalized!S8
+0.3*Normalized!T8
+0.25*Normalized!U8
+0.15*Normalized!E8</f>
        <v>8.3000000000000004E-2</v>
      </c>
      <c r="E29">
        <f>0.35*Normalized!J8
+0.25*Normalized!L8
+0.25*Normalized!P8
+0.15*Normalized!H8</f>
        <v>0.23414999999999997</v>
      </c>
    </row>
    <row r="30" spans="1:5" x14ac:dyDescent="0.2">
      <c r="A30" t="str">
        <f>Normalized!A10</f>
        <v>Jarrod Bowen</v>
      </c>
      <c r="B30">
        <f>0.3*Normalized!H10
+0.3*Normalized!F10
+0.15*Normalized!I10
+0.15*Normalized!K10
+0.1*Normalized!L10</f>
        <v>0.44534999999999997</v>
      </c>
      <c r="C30">
        <f>0.3*Normalized!P10
+0.3*Normalized!R10
+0.25*Normalized!Q10
+0.15*Normalized!H10</f>
        <v>0.50919999999999999</v>
      </c>
      <c r="D30">
        <f>0.3*Normalized!S10
+0.3*Normalized!T10
+0.25*Normalized!U10
+0.15*Normalized!E10</f>
        <v>0.57245000000000001</v>
      </c>
      <c r="E30">
        <f>0.35*Normalized!J10
+0.25*Normalized!L10
+0.25*Normalized!P10
+0.15*Normalized!H10</f>
        <v>0.31945000000000001</v>
      </c>
    </row>
    <row r="31" spans="1:5" x14ac:dyDescent="0.2">
      <c r="A31" t="str">
        <f>Normalized!A28</f>
        <v>Jean-Philippe Mateta</v>
      </c>
      <c r="B31">
        <f>0.3*Normalized!H28
+0.3*Normalized!F28
+0.15*Normalized!I28
+0.15*Normalized!K28
+0.1*Normalized!L28</f>
        <v>0.43804999999999999</v>
      </c>
      <c r="C31">
        <f>0.3*Normalized!P28
+0.3*Normalized!R28
+0.25*Normalized!Q28
+0.15*Normalized!H28</f>
        <v>0.3765</v>
      </c>
      <c r="D31">
        <f>0.3*Normalized!S28
+0.3*Normalized!T28
+0.25*Normalized!U28
+0.15*Normalized!E28</f>
        <v>0.16694999999999999</v>
      </c>
      <c r="E31">
        <f>0.35*Normalized!J28
+0.25*Normalized!L28
+0.25*Normalized!P28
+0.15*Normalized!H28</f>
        <v>0.35175000000000001</v>
      </c>
    </row>
    <row r="32" spans="1:5" x14ac:dyDescent="0.2">
      <c r="A32" t="str">
        <f>Normalized!A41</f>
        <v>Antoine Semenyo</v>
      </c>
      <c r="B32">
        <f>0.3*Normalized!H41
+0.3*Normalized!F41
+0.15*Normalized!I41
+0.15*Normalized!K41
+0.1*Normalized!L41</f>
        <v>0.436</v>
      </c>
      <c r="C32">
        <f>0.3*Normalized!P41
+0.3*Normalized!R41
+0.25*Normalized!Q41
+0.15*Normalized!H41</f>
        <v>0.58479999999999999</v>
      </c>
      <c r="D32">
        <f>0.3*Normalized!S41
+0.3*Normalized!T41
+0.25*Normalized!U41
+0.15*Normalized!E41</f>
        <v>0.74054999999999993</v>
      </c>
      <c r="E32">
        <f>0.35*Normalized!J41
+0.25*Normalized!L41
+0.25*Normalized!P41
+0.15*Normalized!H41</f>
        <v>0.47454999999999997</v>
      </c>
    </row>
    <row r="33" spans="1:5" x14ac:dyDescent="0.2">
      <c r="A33" t="str">
        <f>Normalized!A2</f>
        <v>Elijah Adebayo</v>
      </c>
      <c r="B33">
        <f>0.3*Normalized!H2
+0.3*Normalized!F2
+0.15*Normalized!I2
+0.15*Normalized!K2
+0.1*Normalized!L2</f>
        <v>0.43509999999999999</v>
      </c>
      <c r="C33">
        <f>0.3*Normalized!P2
+0.3*Normalized!R2
+0.25*Normalized!Q2
+0.15*Normalized!H2</f>
        <v>0.26829999999999998</v>
      </c>
      <c r="D33">
        <f>0.3*Normalized!S2
+0.3*Normalized!T2
+0.25*Normalized!U2
+0.15*Normalized!E2</f>
        <v>0.13389999999999999</v>
      </c>
      <c r="E33">
        <f>0.35*Normalized!J2
+0.25*Normalized!L2
+0.25*Normalized!P2
+0.15*Normalized!H2</f>
        <v>0.50274999999999992</v>
      </c>
    </row>
    <row r="34" spans="1:5" x14ac:dyDescent="0.2">
      <c r="A34" t="str">
        <f>Normalized!A16</f>
        <v>Anthony Gordon</v>
      </c>
      <c r="B34">
        <f>0.3*Normalized!H16
+0.3*Normalized!F16
+0.15*Normalized!I16
+0.15*Normalized!K16
+0.1*Normalized!L16</f>
        <v>0.41320000000000001</v>
      </c>
      <c r="C34">
        <f>0.3*Normalized!P16
+0.3*Normalized!R16
+0.25*Normalized!Q16
+0.15*Normalized!H16</f>
        <v>0.7037500000000001</v>
      </c>
      <c r="D34">
        <f>0.3*Normalized!S16
+0.3*Normalized!T16
+0.25*Normalized!U16
+0.15*Normalized!E16</f>
        <v>0.75574999999999992</v>
      </c>
      <c r="E34">
        <f>0.35*Normalized!J16
+0.25*Normalized!L16
+0.25*Normalized!P16
+0.15*Normalized!H16</f>
        <v>0.5465000000000001</v>
      </c>
    </row>
    <row r="35" spans="1:5" x14ac:dyDescent="0.2">
      <c r="A35" t="str">
        <f>Normalized!A18</f>
        <v>Son Heung-min</v>
      </c>
      <c r="B35">
        <f>0.3*Normalized!H18
+0.3*Normalized!F18
+0.15*Normalized!I18
+0.15*Normalized!K18
+0.1*Normalized!L18</f>
        <v>0.39734999999999998</v>
      </c>
      <c r="C35">
        <f>0.3*Normalized!P18
+0.3*Normalized!R18
+0.25*Normalized!Q18
+0.15*Normalized!H18</f>
        <v>0.85704999999999998</v>
      </c>
      <c r="D35">
        <f>0.3*Normalized!S18
+0.3*Normalized!T18
+0.25*Normalized!U18
+0.15*Normalized!E18</f>
        <v>0.69364999999999988</v>
      </c>
      <c r="E35">
        <f>0.35*Normalized!J18
+0.25*Normalized!L18
+0.25*Normalized!P18
+0.15*Normalized!H18</f>
        <v>0.39549999999999996</v>
      </c>
    </row>
    <row r="36" spans="1:5" x14ac:dyDescent="0.2">
      <c r="A36" t="str">
        <f>Normalized!A32</f>
        <v>Kaoru Mitoma</v>
      </c>
      <c r="B36">
        <f>0.3*Normalized!H32
+0.3*Normalized!F32
+0.15*Normalized!I32
+0.15*Normalized!K32
+0.1*Normalized!L32</f>
        <v>0.37789999999999996</v>
      </c>
      <c r="C36">
        <f>0.3*Normalized!P32
+0.3*Normalized!R32
+0.25*Normalized!Q32
+0.15*Normalized!H32</f>
        <v>0.77254999999999996</v>
      </c>
      <c r="D36">
        <f>0.3*Normalized!S32
+0.3*Normalized!T32
+0.25*Normalized!U32
+0.15*Normalized!E32</f>
        <v>0.83314999999999995</v>
      </c>
      <c r="E36">
        <f>0.35*Normalized!J32
+0.25*Normalized!L32
+0.25*Normalized!P32
+0.15*Normalized!H32</f>
        <v>0.82474999999999998</v>
      </c>
    </row>
    <row r="37" spans="1:5" x14ac:dyDescent="0.2">
      <c r="A37" t="str">
        <f>Normalized!A26</f>
        <v>Noni Madueke</v>
      </c>
      <c r="B37">
        <f>0.3*Normalized!H26
+0.3*Normalized!F26
+0.15*Normalized!I26
+0.15*Normalized!K26
+0.1*Normalized!L26</f>
        <v>0.37779999999999997</v>
      </c>
      <c r="C37">
        <f>0.3*Normalized!P26
+0.3*Normalized!R26
+0.25*Normalized!Q26
+0.15*Normalized!H26</f>
        <v>0.62999999999999989</v>
      </c>
      <c r="D37">
        <f>0.3*Normalized!S26
+0.3*Normalized!T26
+0.25*Normalized!U26
+0.15*Normalized!E26</f>
        <v>0.83819999999999995</v>
      </c>
      <c r="E37">
        <f>0.35*Normalized!J26
+0.25*Normalized!L26
+0.25*Normalized!P26
+0.15*Normalized!H26</f>
        <v>0.74344999999999994</v>
      </c>
    </row>
    <row r="38" spans="1:5" x14ac:dyDescent="0.2">
      <c r="A38" t="str">
        <f>Normalized!A14</f>
        <v>Evan Ferguson</v>
      </c>
      <c r="B38">
        <f>0.3*Normalized!H14
+0.3*Normalized!F14
+0.15*Normalized!I14
+0.15*Normalized!K14
+0.1*Normalized!L14</f>
        <v>0.3639</v>
      </c>
      <c r="C38">
        <f>0.3*Normalized!P14
+0.3*Normalized!R14
+0.25*Normalized!Q14
+0.15*Normalized!H14</f>
        <v>9.0299999999999991E-2</v>
      </c>
      <c r="D38">
        <f>0.3*Normalized!S14
+0.3*Normalized!T14
+0.25*Normalized!U14
+0.15*Normalized!E14</f>
        <v>0.11015</v>
      </c>
      <c r="E38">
        <f>0.35*Normalized!J14
+0.25*Normalized!L14
+0.25*Normalized!P14
+0.15*Normalized!H14</f>
        <v>0.46929999999999999</v>
      </c>
    </row>
    <row r="39" spans="1:5" x14ac:dyDescent="0.2">
      <c r="A39" t="str">
        <f>Normalized!A6</f>
        <v>Michail Antonio</v>
      </c>
      <c r="B39">
        <f>0.3*Normalized!H6
+0.3*Normalized!F6
+0.15*Normalized!I6
+0.15*Normalized!K6
+0.1*Normalized!L6</f>
        <v>0.35994999999999999</v>
      </c>
      <c r="C39">
        <f>0.3*Normalized!P6
+0.3*Normalized!R6
+0.25*Normalized!Q6
+0.15*Normalized!H6</f>
        <v>0.13880000000000001</v>
      </c>
      <c r="D39">
        <f>0.3*Normalized!S6
+0.3*Normalized!T6
+0.25*Normalized!U6
+0.15*Normalized!E6</f>
        <v>0.37890000000000001</v>
      </c>
      <c r="E39">
        <f>0.35*Normalized!J6
+0.25*Normalized!L6
+0.25*Normalized!P6
+0.15*Normalized!H6</f>
        <v>0.3775</v>
      </c>
    </row>
    <row r="40" spans="1:5" x14ac:dyDescent="0.2">
      <c r="A40" t="str">
        <f>Normalized!A12</f>
        <v>Bobby De Cordova-Reid</v>
      </c>
      <c r="B40">
        <f>0.3*Normalized!H12
+0.3*Normalized!F12
+0.15*Normalized!I12
+0.15*Normalized!K12
+0.1*Normalized!L12</f>
        <v>0.34135000000000004</v>
      </c>
      <c r="C40">
        <f>0.3*Normalized!P12
+0.3*Normalized!R12
+0.25*Normalized!Q12
+0.15*Normalized!H12</f>
        <v>0.32040000000000002</v>
      </c>
      <c r="D40">
        <f>0.3*Normalized!S12
+0.3*Normalized!T12
+0.25*Normalized!U12
+0.15*Normalized!E12</f>
        <v>0.31520000000000004</v>
      </c>
      <c r="E40">
        <f>0.35*Normalized!J12
+0.25*Normalized!L12
+0.25*Normalized!P12
+0.15*Normalized!H12</f>
        <v>0.43835000000000002</v>
      </c>
    </row>
    <row r="41" spans="1:5" x14ac:dyDescent="0.2">
      <c r="A41" t="str">
        <f>Normalized!A5</f>
        <v>Zeki Amdouni</v>
      </c>
      <c r="B41">
        <f>0.3*Normalized!H5
+0.3*Normalized!F5
+0.15*Normalized!I5
+0.15*Normalized!K5
+0.1*Normalized!L5</f>
        <v>0.33810000000000001</v>
      </c>
      <c r="C41">
        <f>0.3*Normalized!P5
+0.3*Normalized!R5
+0.25*Normalized!Q5
+0.15*Normalized!H5</f>
        <v>0.23724999999999996</v>
      </c>
      <c r="D41">
        <f>0.3*Normalized!S5
+0.3*Normalized!T5
+0.25*Normalized!U5
+0.15*Normalized!E5</f>
        <v>0.48089999999999999</v>
      </c>
      <c r="E41">
        <f>0.35*Normalized!J5
+0.25*Normalized!L5
+0.25*Normalized!P5
+0.15*Normalized!H5</f>
        <v>0.29859999999999998</v>
      </c>
    </row>
    <row r="42" spans="1:5" x14ac:dyDescent="0.2">
      <c r="A42" t="str">
        <f>Normalized!A7</f>
        <v>Antony</v>
      </c>
      <c r="B42">
        <f>0.3*Normalized!H7
+0.3*Normalized!F7
+0.15*Normalized!I7
+0.15*Normalized!K7
+0.1*Normalized!L7</f>
        <v>0.33279999999999998</v>
      </c>
      <c r="C42">
        <f>0.3*Normalized!P7
+0.3*Normalized!R7
+0.25*Normalized!Q7
+0.15*Normalized!H7</f>
        <v>0.52875000000000005</v>
      </c>
      <c r="D42">
        <f>0.3*Normalized!S7
+0.3*Normalized!T7
+0.25*Normalized!U7
+0.15*Normalized!E7</f>
        <v>0.68480000000000008</v>
      </c>
      <c r="E42">
        <f>0.35*Normalized!J7
+0.25*Normalized!L7
+0.25*Normalized!P7
+0.15*Normalized!H7</f>
        <v>0.48</v>
      </c>
    </row>
    <row r="43" spans="1:5" x14ac:dyDescent="0.2">
      <c r="A43" t="str">
        <f>Normalized!A37</f>
        <v>Marcus Rashford</v>
      </c>
      <c r="B43">
        <f>0.3*Normalized!H37
+0.3*Normalized!F37
+0.15*Normalized!I37
+0.15*Normalized!K37
+0.1*Normalized!L37</f>
        <v>0.31414999999999993</v>
      </c>
      <c r="C43">
        <f>0.3*Normalized!P37
+0.3*Normalized!R37
+0.25*Normalized!Q37
+0.15*Normalized!H37</f>
        <v>0.55264999999999997</v>
      </c>
      <c r="D43">
        <f>0.3*Normalized!S37
+0.3*Normalized!T37
+0.25*Normalized!U37
+0.15*Normalized!E37</f>
        <v>0.69350000000000001</v>
      </c>
      <c r="E43">
        <f>0.35*Normalized!J37
+0.25*Normalized!L37
+0.25*Normalized!P37
+0.15*Normalized!H37</f>
        <v>0.39549999999999996</v>
      </c>
    </row>
    <row r="44" spans="1:5" x14ac:dyDescent="0.2">
      <c r="A44" t="str">
        <f>Normalized!A19</f>
        <v>Rasmus Højlund</v>
      </c>
      <c r="B44">
        <f>0.3*Normalized!H19
+0.3*Normalized!F19
+0.15*Normalized!I19
+0.15*Normalized!K19
+0.1*Normalized!L19</f>
        <v>0.29535</v>
      </c>
      <c r="C44">
        <f>0.3*Normalized!P19
+0.3*Normalized!R19
+0.25*Normalized!Q19
+0.15*Normalized!H19</f>
        <v>0.2671</v>
      </c>
      <c r="D44">
        <f>0.3*Normalized!S19
+0.3*Normalized!T19
+0.25*Normalized!U19
+0.15*Normalized!E19</f>
        <v>0.26100000000000001</v>
      </c>
      <c r="E44">
        <f>0.35*Normalized!J19
+0.25*Normalized!L19
+0.25*Normalized!P19
+0.15*Normalized!H19</f>
        <v>0.16915000000000002</v>
      </c>
    </row>
    <row r="45" spans="1:5" x14ac:dyDescent="0.2">
      <c r="A45" t="str">
        <f>Normalized!A33</f>
        <v>Mykhailo Mudryk</v>
      </c>
      <c r="B45">
        <f>0.3*Normalized!H33
+0.3*Normalized!F33
+0.15*Normalized!I33
+0.15*Normalized!K33
+0.1*Normalized!L33</f>
        <v>0.29020000000000001</v>
      </c>
      <c r="C45">
        <f>0.3*Normalized!P33
+0.3*Normalized!R33
+0.25*Normalized!Q33
+0.15*Normalized!H33</f>
        <v>0.56414999999999993</v>
      </c>
      <c r="D45">
        <f>0.3*Normalized!S33
+0.3*Normalized!T33
+0.25*Normalized!U33
+0.15*Normalized!E33</f>
        <v>0.73390000000000011</v>
      </c>
      <c r="E45">
        <f>0.35*Normalized!J33
+0.25*Normalized!L33
+0.25*Normalized!P33
+0.15*Normalized!H33</f>
        <v>0.48294999999999999</v>
      </c>
    </row>
    <row r="46" spans="1:5" x14ac:dyDescent="0.2">
      <c r="A46" t="str">
        <f>Normalized!A48</f>
        <v>Harry Wilson</v>
      </c>
      <c r="B46">
        <f>0.3*Normalized!H48
+0.3*Normalized!F48
+0.15*Normalized!I48
+0.15*Normalized!K48
+0.1*Normalized!L48</f>
        <v>0.27265</v>
      </c>
      <c r="C46">
        <f>0.3*Normalized!P48
+0.3*Normalized!R48
+0.25*Normalized!Q48
+0.15*Normalized!H48</f>
        <v>0.4446</v>
      </c>
      <c r="D46">
        <f>0.3*Normalized!S48
+0.3*Normalized!T48
+0.25*Normalized!U48
+0.15*Normalized!E48</f>
        <v>0.43709999999999999</v>
      </c>
      <c r="E46">
        <f>0.35*Normalized!J48
+0.25*Normalized!L48
+0.25*Normalized!P48
+0.15*Normalized!H48</f>
        <v>0.71645000000000003</v>
      </c>
    </row>
    <row r="47" spans="1:5" x14ac:dyDescent="0.2">
      <c r="A47" t="str">
        <f>Normalized!A46</f>
        <v>Willian</v>
      </c>
      <c r="B47">
        <f>0.3*Normalized!H46
+0.3*Normalized!F46
+0.15*Normalized!I46
+0.15*Normalized!K46
+0.1*Normalized!L46</f>
        <v>0.25669999999999998</v>
      </c>
      <c r="C47">
        <f>0.3*Normalized!P46
+0.3*Normalized!R46
+0.25*Normalized!Q46
+0.15*Normalized!H46</f>
        <v>0.69769999999999999</v>
      </c>
      <c r="D47">
        <f>0.3*Normalized!S46
+0.3*Normalized!T46
+0.25*Normalized!U46
+0.15*Normalized!E46</f>
        <v>0.64854999999999996</v>
      </c>
      <c r="E47">
        <f>0.35*Normalized!J46
+0.25*Normalized!L46
+0.25*Normalized!P46
+0.15*Normalized!H46</f>
        <v>0.54144999999999988</v>
      </c>
    </row>
    <row r="48" spans="1:5" x14ac:dyDescent="0.2">
      <c r="A48" t="str">
        <f>Normalized!A3</f>
        <v>Simon Adingra</v>
      </c>
      <c r="B48">
        <f>0.3*Normalized!H3
+0.3*Normalized!F3
+0.15*Normalized!I3
+0.15*Normalized!K3
+0.1*Normalized!L3</f>
        <v>0.23390000000000002</v>
      </c>
      <c r="C48">
        <f>0.3*Normalized!P3
+0.3*Normalized!R3
+0.25*Normalized!Q3
+0.15*Normalized!H3</f>
        <v>0.71745000000000003</v>
      </c>
      <c r="D48">
        <f>0.3*Normalized!S3
+0.3*Normalized!T3
+0.25*Normalized!U3
+0.15*Normalized!E3</f>
        <v>0.75080000000000002</v>
      </c>
      <c r="E48">
        <f>0.35*Normalized!J3
+0.25*Normalized!L3
+0.25*Normalized!P3
+0.15*Normalized!H3</f>
        <v>0.48725000000000002</v>
      </c>
    </row>
    <row r="49" spans="1:5" x14ac:dyDescent="0.2">
      <c r="A49" t="str">
        <f>Normalized!A43</f>
        <v>Marcus Tavernier</v>
      </c>
      <c r="B49">
        <f>0.3*Normalized!H43
+0.3*Normalized!F43
+0.15*Normalized!I43
+0.15*Normalized!K43
+0.1*Normalized!L43</f>
        <v>0.21115</v>
      </c>
      <c r="C49">
        <f>0.3*Normalized!P43
+0.3*Normalized!R43
+0.25*Normalized!Q43
+0.15*Normalized!H43</f>
        <v>0.60365000000000002</v>
      </c>
      <c r="D49">
        <f>0.3*Normalized!S43
+0.3*Normalized!T43
+0.25*Normalized!U43
+0.15*Normalized!E43</f>
        <v>0.57985000000000009</v>
      </c>
      <c r="E49">
        <f>0.35*Normalized!J43
+0.25*Normalized!L43
+0.25*Normalized!P43
+0.15*Normalized!H43</f>
        <v>0.29309999999999997</v>
      </c>
    </row>
    <row r="50" spans="1:5" x14ac:dyDescent="0.2">
      <c r="A50" t="str">
        <f>Normalized!A4</f>
        <v>Miguel Almirón</v>
      </c>
      <c r="B50">
        <f>0.3*Normalized!H4
+0.3*Normalized!F4
+0.15*Normalized!I4
+0.15*Normalized!K4
+0.1*Normalized!L4</f>
        <v>0.1714</v>
      </c>
      <c r="C50">
        <f>0.3*Normalized!P4
+0.3*Normalized!R4
+0.25*Normalized!Q4
+0.15*Normalized!H4</f>
        <v>0.55160000000000009</v>
      </c>
      <c r="D50">
        <f>0.3*Normalized!S4
+0.3*Normalized!T4
+0.25*Normalized!U4
+0.15*Normalized!E4</f>
        <v>0.55069999999999997</v>
      </c>
      <c r="E50">
        <f>0.35*Normalized!J4
+0.25*Normalized!L4
+0.25*Normalized!P4
+0.15*Normalized!H4</f>
        <v>0.57565</v>
      </c>
    </row>
  </sheetData>
  <sortState xmlns:xlrd2="http://schemas.microsoft.com/office/spreadsheetml/2017/richdata2" ref="A2:E50">
    <sortCondition descending="1" ref="B1:B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A6A7-C64B-D141-BC32-E598D28190FE}">
  <dimension ref="A1:AE104"/>
  <sheetViews>
    <sheetView tabSelected="1" zoomScale="125" zoomScaleNormal="89" workbookViewId="0">
      <selection activeCell="B9" sqref="B9"/>
    </sheetView>
  </sheetViews>
  <sheetFormatPr baseColWidth="10" defaultRowHeight="16" x14ac:dyDescent="0.2"/>
  <cols>
    <col min="1" max="1" width="15.83203125" customWidth="1"/>
    <col min="2" max="2" width="22.83203125" customWidth="1"/>
    <col min="3" max="3" width="14.6640625" customWidth="1"/>
    <col min="4" max="4" width="7.83203125" customWidth="1"/>
    <col min="5" max="5" width="14.1640625" customWidth="1"/>
    <col min="6" max="6" width="7.83203125" customWidth="1"/>
    <col min="7" max="7" width="11.5" customWidth="1"/>
    <col min="8" max="8" width="8.5" customWidth="1"/>
    <col min="9" max="9" width="8.83203125" customWidth="1"/>
  </cols>
  <sheetData>
    <row r="1" spans="1:31" x14ac:dyDescent="0.2">
      <c r="A1" t="s">
        <v>93</v>
      </c>
    </row>
    <row r="2" spans="1:31" ht="18" customHeight="1" x14ac:dyDescent="0.2"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x14ac:dyDescent="0.2">
      <c r="A3" t="s">
        <v>94</v>
      </c>
      <c r="B3" t="s">
        <v>28</v>
      </c>
      <c r="D3" t="s">
        <v>101</v>
      </c>
      <c r="E3" t="str">
        <f>_xlfn.XLOOKUP($B$3, Raw_Data!A:A, Raw_Data!B:B)</f>
        <v>Manchester City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1" x14ac:dyDescent="0.2">
      <c r="D4" t="s">
        <v>102</v>
      </c>
      <c r="E4">
        <f>_xlfn.XLOOKUP($B$3, Raw_Data!A:A, Raw_Data!C:C)</f>
        <v>23</v>
      </c>
      <c r="J4" s="4"/>
      <c r="K4" s="4"/>
      <c r="L4" s="2"/>
      <c r="M4" s="4"/>
      <c r="N4" s="2"/>
      <c r="O4" s="2"/>
      <c r="P4" s="2"/>
      <c r="Q4" s="2"/>
      <c r="R4" s="2"/>
      <c r="S4" s="2"/>
      <c r="T4" s="2"/>
      <c r="U4" s="2"/>
      <c r="V4" s="4"/>
      <c r="W4" s="2"/>
      <c r="X4" s="2"/>
      <c r="Y4" s="2"/>
      <c r="Z4" s="2"/>
      <c r="AA4" s="2"/>
      <c r="AB4" s="2"/>
      <c r="AC4" s="2"/>
      <c r="AD4" s="2"/>
      <c r="AE4" s="3"/>
    </row>
    <row r="5" spans="1:31" x14ac:dyDescent="0.2">
      <c r="D5" t="s">
        <v>103</v>
      </c>
      <c r="E5">
        <f>_xlfn.XLOOKUP($B$3, Raw_Data!A:A, Raw_Data!D:D)</f>
        <v>2552</v>
      </c>
      <c r="J5" s="4"/>
      <c r="K5" s="4"/>
      <c r="L5" s="2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3"/>
    </row>
    <row r="6" spans="1:31" x14ac:dyDescent="0.2">
      <c r="A6" t="s">
        <v>97</v>
      </c>
      <c r="B6">
        <f>_xlfn.XLOOKUP($B$3, Archetype_Scores!$A:$A, Archetype_Scores!B:B)</f>
        <v>0.75609999999999999</v>
      </c>
      <c r="G6" t="s">
        <v>95</v>
      </c>
      <c r="J6" s="4"/>
      <c r="K6" s="4"/>
      <c r="L6" s="2"/>
      <c r="M6" s="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/>
    </row>
    <row r="7" spans="1:31" x14ac:dyDescent="0.2">
      <c r="A7" t="s">
        <v>98</v>
      </c>
      <c r="B7">
        <f>_xlfn.XLOOKUP($B$3, Archetype_Scores!$A:$A, Archetype_Scores!C:C)</f>
        <v>0.35680000000000001</v>
      </c>
      <c r="J7" s="2"/>
      <c r="K7" s="2"/>
      <c r="L7" s="2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3"/>
    </row>
    <row r="8" spans="1:31" x14ac:dyDescent="0.2">
      <c r="A8" t="s">
        <v>99</v>
      </c>
      <c r="B8">
        <f>_xlfn.XLOOKUP($B$3, Archetype_Scores!$A:$A, Archetype_Scores!D:D)</f>
        <v>0.32239999999999996</v>
      </c>
      <c r="J8" s="4"/>
      <c r="K8" s="4"/>
      <c r="L8" s="2"/>
      <c r="M8" s="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3"/>
    </row>
    <row r="9" spans="1:31" x14ac:dyDescent="0.2">
      <c r="A9" t="s">
        <v>100</v>
      </c>
      <c r="B9">
        <f>_xlfn.XLOOKUP($B$3, Archetype_Scores!$A:$A, Archetype_Scores!E:E)</f>
        <v>0.48614999999999997</v>
      </c>
      <c r="J9" s="4"/>
      <c r="K9" s="4"/>
      <c r="L9" s="2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3"/>
    </row>
    <row r="10" spans="1:31" x14ac:dyDescent="0.2">
      <c r="J10" s="4"/>
      <c r="K10" s="4"/>
      <c r="L10" s="2"/>
      <c r="M10" s="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3"/>
    </row>
    <row r="11" spans="1:31" x14ac:dyDescent="0.2">
      <c r="J11" s="4"/>
      <c r="K11" s="2"/>
      <c r="L11" s="2"/>
      <c r="M11" s="4"/>
      <c r="N11" s="2"/>
      <c r="O11" s="2"/>
      <c r="P11" s="2"/>
      <c r="Q11" s="2"/>
      <c r="R11" s="2"/>
      <c r="S11" s="2"/>
      <c r="T11" s="2"/>
      <c r="U11" s="2"/>
      <c r="V11" s="4"/>
      <c r="W11" s="2"/>
      <c r="X11" s="2"/>
      <c r="Y11" s="2"/>
      <c r="Z11" s="2"/>
      <c r="AA11" s="2"/>
      <c r="AB11" s="2"/>
      <c r="AC11" s="2"/>
      <c r="AD11" s="2"/>
      <c r="AE11" s="3"/>
    </row>
    <row r="12" spans="1:31" x14ac:dyDescent="0.2">
      <c r="G12" t="s">
        <v>96</v>
      </c>
      <c r="J12" s="4"/>
      <c r="K12" s="4"/>
      <c r="L12" s="2"/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3"/>
    </row>
    <row r="13" spans="1:31" x14ac:dyDescent="0.2">
      <c r="J13" s="2"/>
      <c r="K13" s="2"/>
      <c r="L13" s="2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3"/>
    </row>
    <row r="14" spans="1:31" x14ac:dyDescent="0.2">
      <c r="J14" s="4"/>
      <c r="K14" s="4"/>
      <c r="L14" s="2"/>
      <c r="M14" s="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3"/>
    </row>
    <row r="15" spans="1:31" x14ac:dyDescent="0.2">
      <c r="J15" s="4"/>
      <c r="K15" s="4"/>
      <c r="L15" s="2"/>
      <c r="M15" s="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3"/>
    </row>
    <row r="16" spans="1:31" x14ac:dyDescent="0.2">
      <c r="J16" s="4"/>
      <c r="K16" s="4"/>
      <c r="L16" s="2"/>
      <c r="M16" s="4"/>
      <c r="N16" s="2"/>
      <c r="O16" s="2"/>
      <c r="P16" s="2"/>
      <c r="Q16" s="2"/>
      <c r="R16" s="2"/>
      <c r="S16" s="2"/>
      <c r="T16" s="2"/>
      <c r="U16" s="2"/>
      <c r="V16" s="4"/>
      <c r="W16" s="2"/>
      <c r="X16" s="2"/>
      <c r="Y16" s="2"/>
      <c r="Z16" s="2"/>
      <c r="AA16" s="2"/>
      <c r="AB16" s="2"/>
      <c r="AC16" s="2"/>
      <c r="AD16" s="2"/>
      <c r="AE16" s="3"/>
    </row>
    <row r="17" spans="10:31" x14ac:dyDescent="0.2">
      <c r="J17" s="4"/>
      <c r="K17" s="4"/>
      <c r="L17" s="2"/>
      <c r="M17" s="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"/>
    </row>
    <row r="18" spans="10:31" x14ac:dyDescent="0.2"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"/>
    </row>
    <row r="19" spans="10:31" x14ac:dyDescent="0.2">
      <c r="J19" s="2"/>
      <c r="K19" s="2"/>
      <c r="L19" s="2"/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/>
    </row>
    <row r="20" spans="10:31" x14ac:dyDescent="0.2">
      <c r="J20" s="2"/>
      <c r="K20" s="2"/>
      <c r="L20" s="2"/>
      <c r="M20" s="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"/>
    </row>
    <row r="21" spans="10:31" x14ac:dyDescent="0.2">
      <c r="J21" s="4"/>
      <c r="K21" s="4"/>
      <c r="L21" s="2"/>
      <c r="M21" s="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"/>
    </row>
    <row r="22" spans="10:31" x14ac:dyDescent="0.2">
      <c r="J22" s="2"/>
      <c r="K22" s="2"/>
      <c r="L22" s="2"/>
      <c r="M22" s="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3"/>
    </row>
    <row r="23" spans="10:31" x14ac:dyDescent="0.2">
      <c r="J23" s="4"/>
      <c r="K23" s="4"/>
      <c r="L23" s="2"/>
      <c r="M23" s="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3"/>
    </row>
    <row r="24" spans="10:31" x14ac:dyDescent="0.2">
      <c r="J24" s="4"/>
      <c r="K24" s="4"/>
      <c r="L24" s="2"/>
      <c r="M24" s="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"/>
    </row>
    <row r="25" spans="10:31" x14ac:dyDescent="0.2">
      <c r="J25" s="4"/>
      <c r="K25" s="4"/>
      <c r="L25" s="2"/>
      <c r="M25" s="2"/>
      <c r="N25" s="2"/>
      <c r="O25" s="2"/>
      <c r="P25" s="2"/>
      <c r="Q25" s="2"/>
      <c r="R25" s="2"/>
      <c r="S25" s="2"/>
      <c r="T25" s="2"/>
      <c r="U25" s="2"/>
      <c r="V25" s="4"/>
      <c r="W25" s="2"/>
      <c r="X25" s="2"/>
      <c r="Y25" s="2"/>
      <c r="Z25" s="2"/>
      <c r="AA25" s="2"/>
      <c r="AB25" s="2"/>
      <c r="AC25" s="2"/>
      <c r="AD25" s="2"/>
      <c r="AE25" s="3"/>
    </row>
    <row r="26" spans="10:31" x14ac:dyDescent="0.2">
      <c r="J26" s="4"/>
      <c r="K26" s="4"/>
      <c r="L26" s="2"/>
      <c r="M26" s="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/>
    </row>
    <row r="27" spans="10:31" x14ac:dyDescent="0.2">
      <c r="J27" s="4"/>
      <c r="K27" s="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3"/>
    </row>
    <row r="28" spans="10:31" x14ac:dyDescent="0.2">
      <c r="J28" s="2"/>
      <c r="K28" s="2"/>
      <c r="L28" s="2"/>
      <c r="M28" s="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3"/>
    </row>
    <row r="29" spans="10:31" x14ac:dyDescent="0.2">
      <c r="J29" s="4"/>
      <c r="K29" s="4"/>
      <c r="L29" s="2"/>
      <c r="M29" s="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3"/>
    </row>
    <row r="30" spans="10:31" x14ac:dyDescent="0.2">
      <c r="J30" s="2"/>
      <c r="K30" s="2"/>
      <c r="L30" s="2"/>
      <c r="M30" s="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3"/>
    </row>
    <row r="31" spans="10:31" x14ac:dyDescent="0.2">
      <c r="J31" s="4"/>
      <c r="K31" s="4"/>
      <c r="L31" s="2"/>
      <c r="M31" s="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3"/>
    </row>
    <row r="32" spans="10:31" x14ac:dyDescent="0.2">
      <c r="J32" s="2"/>
      <c r="K32" s="2"/>
      <c r="L32" s="2"/>
      <c r="M32" s="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3"/>
    </row>
    <row r="33" spans="10:31" x14ac:dyDescent="0.2"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3"/>
    </row>
    <row r="34" spans="10:31" x14ac:dyDescent="0.2">
      <c r="J34" s="4"/>
      <c r="K34" s="4"/>
      <c r="L34" s="2"/>
      <c r="M34" s="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3"/>
    </row>
    <row r="35" spans="10:31" x14ac:dyDescent="0.2">
      <c r="J35" s="4"/>
      <c r="K35" s="4"/>
      <c r="L35" s="2"/>
      <c r="M35" s="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3"/>
    </row>
    <row r="36" spans="10:31" x14ac:dyDescent="0.2">
      <c r="J36" s="4"/>
      <c r="K36" s="4"/>
      <c r="L36" s="2"/>
      <c r="M36" s="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3"/>
    </row>
    <row r="37" spans="10:31" x14ac:dyDescent="0.2">
      <c r="J37" s="4"/>
      <c r="K37" s="4"/>
      <c r="L37" s="2"/>
      <c r="M37" s="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3"/>
    </row>
    <row r="38" spans="10:31" x14ac:dyDescent="0.2">
      <c r="J38" s="4"/>
      <c r="K38" s="2"/>
      <c r="L38" s="2"/>
      <c r="M38" s="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3"/>
    </row>
    <row r="39" spans="10:31" x14ac:dyDescent="0.2">
      <c r="J39" s="2"/>
      <c r="K39" s="2"/>
      <c r="L39" s="2"/>
      <c r="M39" s="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3"/>
    </row>
    <row r="40" spans="10:31" x14ac:dyDescent="0.2">
      <c r="J40" s="4"/>
      <c r="K40" s="4"/>
      <c r="L40" s="2"/>
      <c r="M40" s="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3"/>
    </row>
    <row r="41" spans="10:31" x14ac:dyDescent="0.2">
      <c r="J41" s="2"/>
      <c r="K41" s="2"/>
      <c r="L41" s="2"/>
      <c r="M41" s="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3"/>
    </row>
    <row r="42" spans="10:31" x14ac:dyDescent="0.2">
      <c r="J42" s="2"/>
      <c r="K42" s="2"/>
      <c r="L42" s="2"/>
      <c r="M42" s="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3"/>
    </row>
    <row r="43" spans="10:31" x14ac:dyDescent="0.2">
      <c r="J43" s="4"/>
      <c r="K43" s="4"/>
      <c r="L43" s="2"/>
      <c r="M43" s="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3"/>
    </row>
    <row r="44" spans="10:31" x14ac:dyDescent="0.2">
      <c r="J44" s="2"/>
      <c r="K44" s="2"/>
      <c r="L44" s="2"/>
      <c r="M44" s="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3"/>
    </row>
    <row r="45" spans="10:31" x14ac:dyDescent="0.2">
      <c r="J45" s="4"/>
      <c r="K45" s="4"/>
      <c r="L45" s="2"/>
      <c r="M45" s="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3"/>
    </row>
    <row r="46" spans="10:31" x14ac:dyDescent="0.2">
      <c r="J46" s="4"/>
      <c r="K46" s="4"/>
      <c r="L46" s="2"/>
      <c r="M46" s="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3"/>
    </row>
    <row r="47" spans="10:31" x14ac:dyDescent="0.2">
      <c r="J47" s="4"/>
      <c r="K47" s="4"/>
      <c r="L47" s="2"/>
      <c r="M47" s="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3"/>
    </row>
    <row r="48" spans="10:31" x14ac:dyDescent="0.2">
      <c r="J48" s="2"/>
      <c r="K48" s="2"/>
      <c r="L48" s="2"/>
      <c r="M48" s="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3"/>
    </row>
    <row r="49" spans="1:31" x14ac:dyDescent="0.2">
      <c r="J49" s="2"/>
      <c r="K49" s="2"/>
      <c r="L49" s="2"/>
      <c r="M49" s="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3"/>
    </row>
    <row r="50" spans="1:31" x14ac:dyDescent="0.2">
      <c r="J50" s="4"/>
      <c r="K50" s="4"/>
      <c r="L50" s="2"/>
      <c r="M50" s="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3"/>
    </row>
    <row r="51" spans="1:31" x14ac:dyDescent="0.2">
      <c r="J51" s="4"/>
      <c r="K51" s="4"/>
      <c r="L51" s="2"/>
      <c r="M51" s="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3"/>
    </row>
    <row r="52" spans="1:31" x14ac:dyDescent="0.2">
      <c r="J52" s="4"/>
      <c r="K52" s="4"/>
      <c r="L52" s="4"/>
      <c r="M52" s="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3"/>
    </row>
    <row r="57" spans="1:31" x14ac:dyDescent="0.2"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V57" s="17"/>
      <c r="W57" s="17"/>
      <c r="X57" s="17"/>
      <c r="Y57" s="17"/>
      <c r="Z57" s="17"/>
    </row>
    <row r="58" spans="1:31" x14ac:dyDescent="0.2"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V58" s="17"/>
      <c r="W58" s="17"/>
      <c r="X58" s="17"/>
      <c r="Y58" s="17"/>
      <c r="Z58" s="17"/>
    </row>
    <row r="59" spans="1:31" x14ac:dyDescent="0.2">
      <c r="J59" s="2"/>
      <c r="K59" s="2"/>
      <c r="L59" s="2"/>
      <c r="M59" s="2"/>
      <c r="N59" s="2"/>
      <c r="O59" s="2"/>
      <c r="P59" s="2"/>
      <c r="Q59" s="2"/>
      <c r="R59" s="4"/>
      <c r="S59" s="4"/>
      <c r="T59" s="4"/>
      <c r="V59" s="2"/>
      <c r="W59" s="2"/>
      <c r="X59" s="5"/>
      <c r="Y59" s="5"/>
      <c r="Z59" s="3"/>
    </row>
    <row r="60" spans="1:31" x14ac:dyDescent="0.2">
      <c r="J60" s="2"/>
      <c r="K60" s="2"/>
      <c r="L60" s="2"/>
      <c r="M60" s="2"/>
      <c r="N60" s="2"/>
      <c r="O60" s="2"/>
      <c r="P60" s="2"/>
      <c r="Q60" s="2"/>
      <c r="R60" s="4"/>
      <c r="S60" s="4"/>
      <c r="T60" s="4"/>
      <c r="V60" s="2"/>
      <c r="W60" s="2"/>
      <c r="X60" s="5"/>
      <c r="Y60" s="5"/>
      <c r="Z60" s="3"/>
    </row>
    <row r="61" spans="1:31" x14ac:dyDescent="0.2">
      <c r="A61" s="2"/>
      <c r="B61" s="3"/>
      <c r="C61" s="3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4"/>
      <c r="S61" s="4"/>
      <c r="T61" s="4"/>
      <c r="V61" s="2"/>
      <c r="W61" s="2"/>
      <c r="X61" s="6"/>
      <c r="Y61" s="6"/>
      <c r="Z61" s="3"/>
    </row>
    <row r="62" spans="1:31" x14ac:dyDescent="0.2">
      <c r="A62" s="2"/>
      <c r="B62" s="3"/>
      <c r="C62" s="3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4"/>
      <c r="S62" s="2"/>
      <c r="T62" s="2"/>
      <c r="V62" s="2"/>
      <c r="W62" s="2"/>
      <c r="X62" s="6"/>
      <c r="Y62" s="6"/>
      <c r="Z62" s="3"/>
    </row>
    <row r="63" spans="1:31" x14ac:dyDescent="0.2">
      <c r="A63" s="2"/>
      <c r="B63" s="3"/>
      <c r="C63" s="3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4"/>
      <c r="S63" s="4"/>
      <c r="T63" s="4"/>
      <c r="V63" s="2"/>
      <c r="W63" s="2"/>
      <c r="X63" s="5"/>
      <c r="Y63" s="5"/>
      <c r="Z63" s="3"/>
    </row>
    <row r="64" spans="1:31" x14ac:dyDescent="0.2">
      <c r="A64" s="2"/>
      <c r="B64" s="3"/>
      <c r="C64" s="3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4"/>
      <c r="S64" s="4"/>
      <c r="T64" s="4"/>
      <c r="V64" s="2"/>
      <c r="W64" s="2"/>
      <c r="X64" s="6"/>
      <c r="Y64" s="6"/>
      <c r="Z64" s="3"/>
    </row>
    <row r="65" spans="1:26" x14ac:dyDescent="0.2">
      <c r="A65" s="2"/>
      <c r="B65" s="3"/>
      <c r="C65" s="3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4"/>
      <c r="S65" s="4"/>
      <c r="T65" s="4"/>
      <c r="V65" s="2"/>
      <c r="W65" s="2"/>
      <c r="X65" s="5"/>
      <c r="Y65" s="5"/>
      <c r="Z65" s="3"/>
    </row>
    <row r="66" spans="1:26" x14ac:dyDescent="0.2">
      <c r="A66" s="2"/>
      <c r="B66" s="3"/>
      <c r="C66" s="3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4"/>
      <c r="S66" s="4"/>
      <c r="T66" s="2"/>
      <c r="V66" s="2"/>
      <c r="W66" s="2"/>
      <c r="X66" s="6"/>
      <c r="Y66" s="6"/>
      <c r="Z66" s="3"/>
    </row>
    <row r="67" spans="1:26" x14ac:dyDescent="0.2">
      <c r="A67" s="2"/>
      <c r="B67" s="3"/>
      <c r="C67" s="3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4"/>
      <c r="S67" s="4"/>
      <c r="T67" s="4"/>
      <c r="V67" s="2"/>
      <c r="W67" s="2"/>
      <c r="X67" s="5"/>
      <c r="Y67" s="5"/>
      <c r="Z67" s="3"/>
    </row>
    <row r="68" spans="1:26" x14ac:dyDescent="0.2">
      <c r="A68" s="2"/>
      <c r="B68" s="3"/>
      <c r="C68" s="3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V68" s="2"/>
      <c r="W68" s="2"/>
      <c r="X68" s="6"/>
      <c r="Y68" s="6"/>
      <c r="Z68" s="3"/>
    </row>
    <row r="69" spans="1:26" x14ac:dyDescent="0.2">
      <c r="A69" s="2"/>
      <c r="B69" s="3"/>
      <c r="C69" s="3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4"/>
      <c r="S69" s="4"/>
      <c r="T69" s="4"/>
      <c r="V69" s="2"/>
      <c r="W69" s="2"/>
      <c r="X69" s="5"/>
      <c r="Y69" s="5"/>
      <c r="Z69" s="3"/>
    </row>
    <row r="70" spans="1:26" x14ac:dyDescent="0.2">
      <c r="A70" s="2"/>
      <c r="B70" s="3"/>
      <c r="C70" s="3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4"/>
      <c r="S70" s="4"/>
      <c r="T70" s="4"/>
      <c r="V70" s="2"/>
      <c r="W70" s="2"/>
      <c r="X70" s="6"/>
      <c r="Y70" s="6"/>
      <c r="Z70" s="3"/>
    </row>
    <row r="71" spans="1:26" x14ac:dyDescent="0.2">
      <c r="A71" s="2"/>
      <c r="B71" s="3"/>
      <c r="C71" s="3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4"/>
      <c r="S71" s="4"/>
      <c r="T71" s="4"/>
      <c r="V71" s="2"/>
      <c r="W71" s="2"/>
      <c r="X71" s="5"/>
      <c r="Y71" s="5"/>
      <c r="Z71" s="3"/>
    </row>
    <row r="72" spans="1:26" x14ac:dyDescent="0.2">
      <c r="A72" s="2"/>
      <c r="B72" s="3"/>
      <c r="C72" s="3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4"/>
      <c r="S72" s="4"/>
      <c r="T72" s="4"/>
      <c r="V72" s="2"/>
      <c r="W72" s="2"/>
      <c r="X72" s="6"/>
      <c r="Y72" s="6"/>
      <c r="Z72" s="3"/>
    </row>
    <row r="73" spans="1:26" x14ac:dyDescent="0.2">
      <c r="A73" s="2"/>
      <c r="B73" s="3"/>
      <c r="C73" s="3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V73" s="2"/>
      <c r="W73" s="2"/>
      <c r="X73" s="5"/>
      <c r="Y73" s="5"/>
      <c r="Z73" s="3"/>
    </row>
    <row r="74" spans="1:26" x14ac:dyDescent="0.2">
      <c r="A74" s="2"/>
      <c r="B74" s="3"/>
      <c r="C74" s="3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V74" s="2"/>
      <c r="W74" s="2"/>
      <c r="X74" s="6"/>
      <c r="Y74" s="6"/>
      <c r="Z74" s="3"/>
    </row>
    <row r="75" spans="1:26" x14ac:dyDescent="0.2">
      <c r="A75" s="2"/>
      <c r="B75" s="3"/>
      <c r="C75" s="3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4"/>
      <c r="S75" s="2"/>
      <c r="T75" s="2"/>
      <c r="V75" s="2"/>
      <c r="W75" s="2"/>
      <c r="X75" s="5"/>
      <c r="Y75" s="5"/>
      <c r="Z75" s="3"/>
    </row>
    <row r="76" spans="1:26" x14ac:dyDescent="0.2">
      <c r="A76" s="2"/>
      <c r="B76" s="3"/>
      <c r="C76" s="3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4"/>
      <c r="S76" s="4"/>
      <c r="T76" s="4"/>
      <c r="V76" s="2"/>
      <c r="W76" s="2"/>
      <c r="X76" s="5"/>
      <c r="Y76" s="5"/>
      <c r="Z76" s="3"/>
    </row>
    <row r="77" spans="1:26" x14ac:dyDescent="0.2">
      <c r="A77" s="2"/>
      <c r="B77" s="3"/>
      <c r="C77" s="3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V77" s="2"/>
      <c r="W77" s="2"/>
      <c r="X77" s="5"/>
      <c r="Y77" s="5"/>
      <c r="Z77" s="3"/>
    </row>
    <row r="78" spans="1:26" x14ac:dyDescent="0.2">
      <c r="A78" s="2"/>
      <c r="B78" s="3"/>
      <c r="C78" s="3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4"/>
      <c r="S78" s="4"/>
      <c r="T78" s="4"/>
      <c r="V78" s="2"/>
      <c r="W78" s="2"/>
      <c r="X78" s="6"/>
      <c r="Y78" s="6"/>
      <c r="Z78" s="3"/>
    </row>
    <row r="79" spans="1:26" x14ac:dyDescent="0.2">
      <c r="A79" s="2"/>
      <c r="B79" s="3"/>
      <c r="C79" s="3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4"/>
      <c r="S79" s="4"/>
      <c r="T79" s="4"/>
      <c r="V79" s="2"/>
      <c r="W79" s="2"/>
      <c r="X79" s="6"/>
      <c r="Y79" s="6"/>
      <c r="Z79" s="3"/>
    </row>
    <row r="80" spans="1:26" x14ac:dyDescent="0.2">
      <c r="A80" s="2"/>
      <c r="B80" s="3"/>
      <c r="C80" s="3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4"/>
      <c r="S80" s="4"/>
      <c r="T80" s="4"/>
      <c r="V80" s="2"/>
      <c r="W80" s="2"/>
      <c r="X80" s="5"/>
      <c r="Y80" s="5"/>
      <c r="Z80" s="3"/>
    </row>
    <row r="81" spans="1:26" x14ac:dyDescent="0.2">
      <c r="A81" s="2"/>
      <c r="B81" s="3"/>
      <c r="C81" s="3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4"/>
      <c r="S81" s="4"/>
      <c r="T81" s="4"/>
      <c r="V81" s="2"/>
      <c r="W81" s="2"/>
      <c r="X81" s="6"/>
      <c r="Y81" s="6"/>
      <c r="Z81" s="3"/>
    </row>
    <row r="82" spans="1:26" x14ac:dyDescent="0.2">
      <c r="A82" s="2"/>
      <c r="B82" s="3"/>
      <c r="C82" s="3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4"/>
      <c r="S82" s="4"/>
      <c r="T82" s="4"/>
      <c r="V82" s="2"/>
      <c r="W82" s="2"/>
      <c r="X82" s="5"/>
      <c r="Y82" s="5"/>
      <c r="Z82" s="3"/>
    </row>
    <row r="83" spans="1:26" x14ac:dyDescent="0.2">
      <c r="A83" s="2"/>
      <c r="B83" s="3"/>
      <c r="C83" s="3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4"/>
      <c r="S83" s="2"/>
      <c r="T83" s="2"/>
      <c r="V83" s="2"/>
      <c r="W83" s="2"/>
      <c r="X83" s="5"/>
      <c r="Y83" s="5"/>
      <c r="Z83" s="3"/>
    </row>
    <row r="84" spans="1:26" x14ac:dyDescent="0.2">
      <c r="A84" s="2"/>
      <c r="B84" s="3"/>
      <c r="C84" s="3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4"/>
      <c r="S84" s="4"/>
      <c r="T84" s="4"/>
      <c r="V84" s="2"/>
      <c r="W84" s="2"/>
      <c r="X84" s="6"/>
      <c r="Y84" s="6"/>
      <c r="Z84" s="3"/>
    </row>
    <row r="85" spans="1:26" x14ac:dyDescent="0.2">
      <c r="A85" s="2"/>
      <c r="B85" s="3"/>
      <c r="C85" s="3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4"/>
      <c r="S85" s="2"/>
      <c r="T85" s="2"/>
      <c r="V85" s="2"/>
      <c r="W85" s="2"/>
      <c r="X85" s="5"/>
      <c r="Y85" s="5"/>
      <c r="Z85" s="3"/>
    </row>
    <row r="86" spans="1:26" x14ac:dyDescent="0.2">
      <c r="A86" s="2"/>
      <c r="B86" s="3"/>
      <c r="C86" s="3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4"/>
      <c r="T86" s="4"/>
      <c r="V86" s="2"/>
      <c r="W86" s="2"/>
      <c r="X86" s="5"/>
      <c r="Y86" s="5"/>
      <c r="Z86" s="3"/>
    </row>
    <row r="87" spans="1:26" x14ac:dyDescent="0.2">
      <c r="A87" s="2"/>
      <c r="B87" s="3"/>
      <c r="C87" s="3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V87" s="2"/>
      <c r="W87" s="2"/>
      <c r="X87" s="6"/>
      <c r="Y87" s="6"/>
      <c r="Z87" s="3"/>
    </row>
    <row r="88" spans="1:26" x14ac:dyDescent="0.2">
      <c r="A88" s="2"/>
      <c r="B88" s="3"/>
      <c r="C88" s="3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4"/>
      <c r="S88" s="2"/>
      <c r="T88" s="2"/>
      <c r="V88" s="2"/>
      <c r="W88" s="2"/>
      <c r="X88" s="6"/>
      <c r="Y88" s="6"/>
      <c r="Z88" s="3"/>
    </row>
    <row r="89" spans="1:26" x14ac:dyDescent="0.2">
      <c r="A89" s="2"/>
      <c r="B89" s="3"/>
      <c r="C89" s="3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4"/>
      <c r="S89" s="4"/>
      <c r="T89" s="4"/>
      <c r="V89" s="2"/>
      <c r="W89" s="2"/>
      <c r="X89" s="6"/>
      <c r="Y89" s="6"/>
      <c r="Z89" s="3"/>
    </row>
    <row r="90" spans="1:26" x14ac:dyDescent="0.2">
      <c r="A90" s="2"/>
      <c r="B90" s="3"/>
      <c r="C90" s="3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4"/>
      <c r="S90" s="4"/>
      <c r="T90" s="4"/>
      <c r="V90" s="2"/>
      <c r="W90" s="2"/>
      <c r="X90" s="5"/>
      <c r="Y90" s="5"/>
      <c r="Z90" s="3"/>
    </row>
    <row r="91" spans="1:26" x14ac:dyDescent="0.2">
      <c r="A91" s="2"/>
      <c r="B91" s="3"/>
      <c r="C91" s="3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4"/>
      <c r="S91" s="4"/>
      <c r="T91" s="4"/>
      <c r="V91" s="2"/>
      <c r="W91" s="2"/>
      <c r="X91" s="5"/>
      <c r="Y91" s="5"/>
      <c r="Z91" s="3"/>
    </row>
    <row r="92" spans="1:26" x14ac:dyDescent="0.2">
      <c r="A92" s="2"/>
      <c r="B92" s="3"/>
      <c r="C92" s="3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4"/>
      <c r="S92" s="4"/>
      <c r="T92" s="4"/>
      <c r="V92" s="2"/>
      <c r="W92" s="2"/>
      <c r="X92" s="5"/>
      <c r="Y92" s="5"/>
      <c r="Z92" s="3"/>
    </row>
    <row r="93" spans="1:26" x14ac:dyDescent="0.2">
      <c r="A93" s="2"/>
      <c r="B93" s="3"/>
      <c r="C93" s="3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4"/>
      <c r="S93" s="4"/>
      <c r="T93" s="2"/>
      <c r="V93" s="2"/>
      <c r="W93" s="2"/>
      <c r="X93" s="6"/>
      <c r="Y93" s="6"/>
      <c r="Z93" s="3"/>
    </row>
    <row r="94" spans="1:26" x14ac:dyDescent="0.2">
      <c r="A94" s="2"/>
      <c r="B94" s="3"/>
      <c r="C94" s="3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V94" s="2"/>
      <c r="W94" s="2"/>
      <c r="X94" s="6"/>
      <c r="Y94" s="6"/>
      <c r="Z94" s="3"/>
    </row>
    <row r="95" spans="1:26" x14ac:dyDescent="0.2">
      <c r="A95" s="2"/>
      <c r="B95" s="3"/>
      <c r="C95" s="3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4"/>
      <c r="S95" s="4"/>
      <c r="T95" s="4"/>
      <c r="V95" s="2"/>
      <c r="W95" s="2"/>
      <c r="X95" s="5"/>
      <c r="Y95" s="5"/>
      <c r="Z95" s="3"/>
    </row>
    <row r="96" spans="1:26" x14ac:dyDescent="0.2">
      <c r="A96" s="2"/>
      <c r="B96" s="3"/>
      <c r="C96" s="3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4"/>
      <c r="S96" s="2"/>
      <c r="T96" s="2"/>
      <c r="V96" s="2"/>
      <c r="W96" s="2"/>
      <c r="X96" s="5"/>
      <c r="Y96" s="6"/>
      <c r="Z96" s="3"/>
    </row>
    <row r="97" spans="1:26" x14ac:dyDescent="0.2">
      <c r="A97" s="2"/>
      <c r="B97" s="3"/>
      <c r="C97" s="3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V97" s="2"/>
      <c r="W97" s="2"/>
      <c r="X97" s="6"/>
      <c r="Y97" s="6"/>
      <c r="Z97" s="3"/>
    </row>
    <row r="98" spans="1:26" x14ac:dyDescent="0.2">
      <c r="A98" s="2"/>
      <c r="B98" s="3"/>
      <c r="C98" s="3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4"/>
      <c r="S98" s="4"/>
      <c r="T98" s="4"/>
      <c r="V98" s="2"/>
      <c r="W98" s="2"/>
      <c r="X98" s="5"/>
      <c r="Y98" s="5"/>
      <c r="Z98" s="3"/>
    </row>
    <row r="99" spans="1:26" x14ac:dyDescent="0.2">
      <c r="A99" s="2"/>
      <c r="B99" s="3"/>
      <c r="C99" s="3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/>
      <c r="S99" s="2"/>
      <c r="T99" s="2"/>
      <c r="V99" s="2"/>
      <c r="W99" s="2"/>
      <c r="X99" s="6"/>
      <c r="Y99" s="6"/>
      <c r="Z99" s="3"/>
    </row>
    <row r="100" spans="1:26" x14ac:dyDescent="0.2">
      <c r="A100" s="2"/>
      <c r="B100" s="3"/>
      <c r="C100" s="3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4"/>
      <c r="T100" s="4"/>
      <c r="V100" s="2"/>
      <c r="W100" s="2"/>
      <c r="X100" s="6"/>
      <c r="Y100" s="6"/>
      <c r="Z100" s="3"/>
    </row>
    <row r="101" spans="1:26" x14ac:dyDescent="0.2">
      <c r="A101" s="2"/>
      <c r="B101" s="3"/>
      <c r="C101" s="3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4"/>
      <c r="T101" s="4"/>
      <c r="V101" s="2"/>
      <c r="W101" s="2"/>
      <c r="X101" s="6"/>
      <c r="Y101" s="6"/>
      <c r="Z101" s="3"/>
    </row>
    <row r="102" spans="1:26" x14ac:dyDescent="0.2">
      <c r="A102" s="2"/>
      <c r="B102" s="3"/>
      <c r="C102" s="3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/>
      <c r="S102" s="4"/>
      <c r="T102" s="4"/>
      <c r="V102" s="2"/>
      <c r="W102" s="2"/>
      <c r="X102" s="5"/>
      <c r="Y102" s="5"/>
      <c r="Z102" s="3"/>
    </row>
    <row r="103" spans="1:26" x14ac:dyDescent="0.2">
      <c r="A103" s="2"/>
      <c r="B103" s="3"/>
      <c r="C103" s="3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V103" s="2"/>
      <c r="W103" s="2"/>
      <c r="X103" s="6"/>
      <c r="Y103" s="6"/>
      <c r="Z103" s="3"/>
    </row>
    <row r="104" spans="1:26" x14ac:dyDescent="0.2">
      <c r="A104" s="2"/>
      <c r="B104" s="3"/>
      <c r="C104" s="3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/>
      <c r="S104" s="2"/>
      <c r="T104" s="2"/>
      <c r="V104" s="2"/>
      <c r="W104" s="2"/>
      <c r="X104" s="5"/>
      <c r="Y104" s="6"/>
      <c r="Z104" s="3"/>
    </row>
  </sheetData>
  <mergeCells count="38">
    <mergeCell ref="X57:X58"/>
    <mergeCell ref="Y57:Y58"/>
    <mergeCell ref="Z57:Z58"/>
    <mergeCell ref="Q57:Q58"/>
    <mergeCell ref="R57:R58"/>
    <mergeCell ref="S57:S58"/>
    <mergeCell ref="T57:T58"/>
    <mergeCell ref="V57:V58"/>
    <mergeCell ref="L57:L58"/>
    <mergeCell ref="M57:M58"/>
    <mergeCell ref="N57:N58"/>
    <mergeCell ref="O57:O58"/>
    <mergeCell ref="W57:W58"/>
    <mergeCell ref="P57:P58"/>
    <mergeCell ref="J57:J58"/>
    <mergeCell ref="Z2:Z3"/>
    <mergeCell ref="AA2:AA3"/>
    <mergeCell ref="AB2:AB3"/>
    <mergeCell ref="N2:N3"/>
    <mergeCell ref="O2:O3"/>
    <mergeCell ref="P2:P3"/>
    <mergeCell ref="Q2:Q3"/>
    <mergeCell ref="R2:R3"/>
    <mergeCell ref="S2:S3"/>
    <mergeCell ref="J2:J3"/>
    <mergeCell ref="K2:K3"/>
    <mergeCell ref="L2:L3"/>
    <mergeCell ref="M2:M3"/>
    <mergeCell ref="K57:K58"/>
    <mergeCell ref="AC2:AC3"/>
    <mergeCell ref="AD2:AD3"/>
    <mergeCell ref="AE2:AE3"/>
    <mergeCell ref="T2:T3"/>
    <mergeCell ref="U2:U3"/>
    <mergeCell ref="V2:V3"/>
    <mergeCell ref="W2:W3"/>
    <mergeCell ref="X2:X3"/>
    <mergeCell ref="Y2:Y3"/>
  </mergeCells>
  <dataValidations count="1">
    <dataValidation type="list" allowBlank="1" showInputMessage="1" showErrorMessage="1" sqref="B3" xr:uid="{A75215FD-802B-9F4F-AA18-EE2D8FB9270A}">
      <formula1>Player_List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4446-1C3D-DA4F-A52B-3A7BEA5C6B94}">
  <dimension ref="A1:K50"/>
  <sheetViews>
    <sheetView workbookViewId="0">
      <selection activeCell="A51" sqref="A51"/>
    </sheetView>
  </sheetViews>
  <sheetFormatPr baseColWidth="10" defaultRowHeight="16" x14ac:dyDescent="0.2"/>
  <cols>
    <col min="1" max="1" width="21.1640625" customWidth="1"/>
    <col min="4" max="4" width="14" customWidth="1"/>
    <col min="5" max="5" width="13.5" customWidth="1"/>
    <col min="6" max="6" width="15" customWidth="1"/>
    <col min="7" max="7" width="13.33203125" customWidth="1"/>
    <col min="10" max="10" width="49.6640625" customWidth="1"/>
    <col min="11" max="11" width="51.33203125" customWidth="1"/>
  </cols>
  <sheetData>
    <row r="1" spans="1:11" x14ac:dyDescent="0.2">
      <c r="A1" t="s">
        <v>0</v>
      </c>
      <c r="B1" t="s">
        <v>2</v>
      </c>
      <c r="C1" t="s">
        <v>71</v>
      </c>
      <c r="D1" t="s">
        <v>89</v>
      </c>
      <c r="E1" t="s">
        <v>90</v>
      </c>
      <c r="F1" t="s">
        <v>91</v>
      </c>
      <c r="G1" t="s">
        <v>104</v>
      </c>
      <c r="H1" t="s">
        <v>105</v>
      </c>
    </row>
    <row r="2" spans="1:11" x14ac:dyDescent="0.2">
      <c r="A2" t="str">
        <f>Archetype_Scores!A2</f>
        <v>Rodrigo Muniz</v>
      </c>
      <c r="B2">
        <f>_xlfn.XLOOKUP(A2, Raw_Data!A:A, Raw_Data!C:C)</f>
        <v>22</v>
      </c>
      <c r="C2">
        <f>_xlfn.XLOOKUP(A2, Raw_Data!A:A, Raw_Data!D:D)</f>
        <v>1593</v>
      </c>
      <c r="D2">
        <f>_xlfn.XLOOKUP(A2, Archetype_Scores!A:A, Archetype_Scores!B:B)</f>
        <v>0.81005000000000005</v>
      </c>
      <c r="E2">
        <f>_xlfn.XLOOKUP(A2, Archetype_Scores!A:A, Archetype_Scores!C:C)</f>
        <v>0.23804999999999998</v>
      </c>
      <c r="F2">
        <f>_xlfn.XLOOKUP(A2, Archetype_Scores!A:A, Archetype_Scores!D:D)</f>
        <v>0.15284999999999999</v>
      </c>
      <c r="G2">
        <f>_xlfn.XLOOKUP(A2, Archetype_Scores!A:A, Archetype_Scores!E:E)</f>
        <v>0.5754999999999999</v>
      </c>
      <c r="J2" t="s">
        <v>106</v>
      </c>
    </row>
    <row r="3" spans="1:11" ht="17" x14ac:dyDescent="0.2">
      <c r="A3" t="str">
        <f>Archetype_Scores!A3</f>
        <v>Beto</v>
      </c>
      <c r="B3">
        <f>_xlfn.XLOOKUP(A3, Raw_Data!A:A, Raw_Data!C:C)</f>
        <v>25</v>
      </c>
      <c r="C3">
        <f>_xlfn.XLOOKUP(A3, Raw_Data!A:A, Raw_Data!D:D)</f>
        <v>951</v>
      </c>
      <c r="D3">
        <f>_xlfn.XLOOKUP(A3, Archetype_Scores!A:A, Archetype_Scores!B:B)</f>
        <v>0.80475000000000008</v>
      </c>
      <c r="E3">
        <f>_xlfn.XLOOKUP(A3, Archetype_Scores!A:A, Archetype_Scores!C:C)</f>
        <v>0.23194999999999999</v>
      </c>
      <c r="F3">
        <f>_xlfn.XLOOKUP(A3, Archetype_Scores!A:A, Archetype_Scores!D:D)</f>
        <v>0.31840000000000002</v>
      </c>
      <c r="G3">
        <f>_xlfn.XLOOKUP(A3, Archetype_Scores!A:A, Archetype_Scores!E:E)</f>
        <v>0.65079999999999993</v>
      </c>
      <c r="J3" t="s">
        <v>107</v>
      </c>
      <c r="K3" s="16" t="s">
        <v>109</v>
      </c>
    </row>
    <row r="4" spans="1:11" ht="17" x14ac:dyDescent="0.2">
      <c r="A4" t="str">
        <f>Archetype_Scores!A4</f>
        <v>Darwin Núñez</v>
      </c>
      <c r="B4">
        <f>_xlfn.XLOOKUP(A4, Raw_Data!A:A, Raw_Data!C:C)</f>
        <v>24</v>
      </c>
      <c r="C4">
        <f>_xlfn.XLOOKUP(A4, Raw_Data!A:A, Raw_Data!D:D)</f>
        <v>2047</v>
      </c>
      <c r="D4">
        <f>_xlfn.XLOOKUP(A4, Archetype_Scores!A:A, Archetype_Scores!B:B)</f>
        <v>0.76294999999999991</v>
      </c>
      <c r="E4">
        <f>_xlfn.XLOOKUP(A4, Archetype_Scores!A:A, Archetype_Scores!C:C)</f>
        <v>0.67019999999999991</v>
      </c>
      <c r="F4">
        <f>_xlfn.XLOOKUP(A4, Archetype_Scores!A:A, Archetype_Scores!D:D)</f>
        <v>0.58704999999999996</v>
      </c>
      <c r="G4">
        <f>_xlfn.XLOOKUP(A4, Archetype_Scores!A:A, Archetype_Scores!E:E)</f>
        <v>0.44099999999999995</v>
      </c>
      <c r="J4" t="s">
        <v>108</v>
      </c>
      <c r="K4" s="16" t="s">
        <v>110</v>
      </c>
    </row>
    <row r="5" spans="1:11" ht="17" x14ac:dyDescent="0.2">
      <c r="A5" t="str">
        <f>Archetype_Scores!A5</f>
        <v>Richarlison</v>
      </c>
      <c r="B5">
        <f>_xlfn.XLOOKUP(A5, Raw_Data!A:A, Raw_Data!C:C)</f>
        <v>26</v>
      </c>
      <c r="C5">
        <f>_xlfn.XLOOKUP(A5, Raw_Data!A:A, Raw_Data!D:D)</f>
        <v>1491</v>
      </c>
      <c r="D5">
        <f>_xlfn.XLOOKUP(A5, Archetype_Scores!A:A, Archetype_Scores!B:B)</f>
        <v>0.7609999999999999</v>
      </c>
      <c r="E5">
        <f>_xlfn.XLOOKUP(A5, Archetype_Scores!A:A, Archetype_Scores!C:C)</f>
        <v>0.39850000000000002</v>
      </c>
      <c r="F5">
        <f>_xlfn.XLOOKUP(A5, Archetype_Scores!A:A, Archetype_Scores!D:D)</f>
        <v>0.41205000000000003</v>
      </c>
      <c r="G5">
        <f>_xlfn.XLOOKUP(A5, Archetype_Scores!A:A, Archetype_Scores!E:E)</f>
        <v>0.51629999999999998</v>
      </c>
      <c r="J5" t="s">
        <v>98</v>
      </c>
      <c r="K5" s="16" t="s">
        <v>111</v>
      </c>
    </row>
    <row r="6" spans="1:11" ht="17" x14ac:dyDescent="0.2">
      <c r="A6" t="str">
        <f>Archetype_Scores!A6</f>
        <v>Erling Haaland</v>
      </c>
      <c r="B6">
        <f>_xlfn.XLOOKUP(A6, Raw_Data!A:A, Raw_Data!C:C)</f>
        <v>23</v>
      </c>
      <c r="C6">
        <f>_xlfn.XLOOKUP(A6, Raw_Data!A:A, Raw_Data!D:D)</f>
        <v>2552</v>
      </c>
      <c r="D6">
        <f>_xlfn.XLOOKUP(A6, Archetype_Scores!A:A, Archetype_Scores!B:B)</f>
        <v>0.75609999999999999</v>
      </c>
      <c r="E6">
        <f>_xlfn.XLOOKUP(A6, Archetype_Scores!A:A, Archetype_Scores!C:C)</f>
        <v>0.35680000000000001</v>
      </c>
      <c r="F6">
        <f>_xlfn.XLOOKUP(A6, Archetype_Scores!A:A, Archetype_Scores!D:D)</f>
        <v>0.32239999999999996</v>
      </c>
      <c r="G6">
        <f>_xlfn.XLOOKUP(A6, Archetype_Scores!A:A, Archetype_Scores!E:E)</f>
        <v>0.48614999999999997</v>
      </c>
      <c r="J6" t="s">
        <v>99</v>
      </c>
      <c r="K6" s="16" t="s">
        <v>112</v>
      </c>
    </row>
    <row r="7" spans="1:11" x14ac:dyDescent="0.2">
      <c r="A7" t="str">
        <f>Archetype_Scores!A7</f>
        <v>Callum Wilson</v>
      </c>
      <c r="B7">
        <f>_xlfn.XLOOKUP(A7, Raw_Data!A:A, Raw_Data!C:C)</f>
        <v>31</v>
      </c>
      <c r="C7">
        <f>_xlfn.XLOOKUP(A7, Raw_Data!A:A, Raw_Data!D:D)</f>
        <v>991</v>
      </c>
      <c r="D7">
        <f>_xlfn.XLOOKUP(A7, Archetype_Scores!A:A, Archetype_Scores!B:B)</f>
        <v>0.68274999999999997</v>
      </c>
      <c r="E7">
        <f>_xlfn.XLOOKUP(A7, Archetype_Scores!A:A, Archetype_Scores!C:C)</f>
        <v>0.24845</v>
      </c>
      <c r="F7">
        <f>_xlfn.XLOOKUP(A7, Archetype_Scores!A:A, Archetype_Scores!D:D)</f>
        <v>0.24969999999999998</v>
      </c>
      <c r="G7">
        <f>_xlfn.XLOOKUP(A7, Archetype_Scores!A:A, Archetype_Scores!E:E)</f>
        <v>0.49009999999999998</v>
      </c>
    </row>
    <row r="8" spans="1:11" x14ac:dyDescent="0.2">
      <c r="A8" t="str">
        <f>Archetype_Scores!A8</f>
        <v>Dominic Calvert-Lewin</v>
      </c>
      <c r="B8">
        <f>_xlfn.XLOOKUP(A8, Raw_Data!A:A, Raw_Data!C:C)</f>
        <v>26</v>
      </c>
      <c r="C8">
        <f>_xlfn.XLOOKUP(A8, Raw_Data!A:A, Raw_Data!D:D)</f>
        <v>2171</v>
      </c>
      <c r="D8">
        <f>_xlfn.XLOOKUP(A8, Archetype_Scores!A:A, Archetype_Scores!B:B)</f>
        <v>0.68074999999999997</v>
      </c>
      <c r="E8">
        <f>_xlfn.XLOOKUP(A8, Archetype_Scores!A:A, Archetype_Scores!C:C)</f>
        <v>0.35594999999999999</v>
      </c>
      <c r="F8">
        <f>_xlfn.XLOOKUP(A8, Archetype_Scores!A:A, Archetype_Scores!D:D)</f>
        <v>0.3599</v>
      </c>
      <c r="G8">
        <f>_xlfn.XLOOKUP(A8, Archetype_Scores!A:A, Archetype_Scores!E:E)</f>
        <v>0.58600000000000008</v>
      </c>
    </row>
    <row r="9" spans="1:11" x14ac:dyDescent="0.2">
      <c r="A9" t="str">
        <f>Archetype_Scores!A9</f>
        <v>Oliver McBurnie</v>
      </c>
      <c r="B9">
        <f>_xlfn.XLOOKUP(A9, Raw_Data!A:A, Raw_Data!C:C)</f>
        <v>27</v>
      </c>
      <c r="C9">
        <f>_xlfn.XLOOKUP(A9, Raw_Data!A:A, Raw_Data!D:D)</f>
        <v>1280</v>
      </c>
      <c r="D9">
        <f>_xlfn.XLOOKUP(A9, Archetype_Scores!A:A, Archetype_Scores!B:B)</f>
        <v>0.65180000000000005</v>
      </c>
      <c r="E9">
        <f>_xlfn.XLOOKUP(A9, Archetype_Scores!A:A, Archetype_Scores!C:C)</f>
        <v>0.28885</v>
      </c>
      <c r="F9">
        <f>_xlfn.XLOOKUP(A9, Archetype_Scores!A:A, Archetype_Scores!D:D)</f>
        <v>4.65E-2</v>
      </c>
      <c r="G9">
        <f>_xlfn.XLOOKUP(A9, Archetype_Scores!A:A, Archetype_Scores!E:E)</f>
        <v>0.75679999999999992</v>
      </c>
    </row>
    <row r="10" spans="1:11" x14ac:dyDescent="0.2">
      <c r="A10" t="str">
        <f>Archetype_Scores!A10</f>
        <v>Bukayo Saka</v>
      </c>
      <c r="B10">
        <f>_xlfn.XLOOKUP(A10, Raw_Data!A:A, Raw_Data!C:C)</f>
        <v>21</v>
      </c>
      <c r="C10">
        <f>_xlfn.XLOOKUP(A10, Raw_Data!A:A, Raw_Data!D:D)</f>
        <v>2919</v>
      </c>
      <c r="D10">
        <f>_xlfn.XLOOKUP(A10, Archetype_Scores!A:A, Archetype_Scores!B:B)</f>
        <v>0.64359999999999995</v>
      </c>
      <c r="E10">
        <f>_xlfn.XLOOKUP(A10, Archetype_Scores!A:A, Archetype_Scores!C:C)</f>
        <v>0.9686499999999999</v>
      </c>
      <c r="F10">
        <f>_xlfn.XLOOKUP(A10, Archetype_Scores!A:A, Archetype_Scores!D:D)</f>
        <v>0.86410000000000009</v>
      </c>
      <c r="G10">
        <f>_xlfn.XLOOKUP(A10, Archetype_Scores!A:A, Archetype_Scores!E:E)</f>
        <v>0.80904999999999994</v>
      </c>
    </row>
    <row r="11" spans="1:11" x14ac:dyDescent="0.2">
      <c r="A11" t="str">
        <f>Archetype_Scores!A11</f>
        <v>Eddie Nketiah</v>
      </c>
      <c r="B11">
        <f>_xlfn.XLOOKUP(A11, Raw_Data!A:A, Raw_Data!C:C)</f>
        <v>24</v>
      </c>
      <c r="C11">
        <f>_xlfn.XLOOKUP(A11, Raw_Data!A:A, Raw_Data!D:D)</f>
        <v>1082</v>
      </c>
      <c r="D11">
        <f>_xlfn.XLOOKUP(A11, Archetype_Scores!A:A, Archetype_Scores!B:B)</f>
        <v>0.64029999999999998</v>
      </c>
      <c r="E11">
        <f>_xlfn.XLOOKUP(A11, Archetype_Scores!A:A, Archetype_Scores!C:C)</f>
        <v>0.2339</v>
      </c>
      <c r="F11">
        <f>_xlfn.XLOOKUP(A11, Archetype_Scores!A:A, Archetype_Scores!D:D)</f>
        <v>0.35885</v>
      </c>
      <c r="G11">
        <f>_xlfn.XLOOKUP(A11, Archetype_Scores!A:A, Archetype_Scores!E:E)</f>
        <v>0.71629999999999994</v>
      </c>
    </row>
    <row r="12" spans="1:11" x14ac:dyDescent="0.2">
      <c r="A12" t="str">
        <f>Archetype_Scores!A12</f>
        <v>Mohamed Salah</v>
      </c>
      <c r="B12">
        <f>_xlfn.XLOOKUP(A12, Raw_Data!A:A, Raw_Data!C:C)</f>
        <v>31</v>
      </c>
      <c r="C12">
        <f>_xlfn.XLOOKUP(A12, Raw_Data!A:A, Raw_Data!D:D)</f>
        <v>2534</v>
      </c>
      <c r="D12">
        <f>_xlfn.XLOOKUP(A12, Archetype_Scores!A:A, Archetype_Scores!B:B)</f>
        <v>0.6371</v>
      </c>
      <c r="E12">
        <f>_xlfn.XLOOKUP(A12, Archetype_Scores!A:A, Archetype_Scores!C:C)</f>
        <v>0.93910000000000005</v>
      </c>
      <c r="F12">
        <f>_xlfn.XLOOKUP(A12, Archetype_Scores!A:A, Archetype_Scores!D:D)</f>
        <v>0.75339999999999996</v>
      </c>
      <c r="G12">
        <f>_xlfn.XLOOKUP(A12, Archetype_Scores!A:A, Archetype_Scores!E:E)</f>
        <v>0.47149999999999997</v>
      </c>
    </row>
    <row r="13" spans="1:11" x14ac:dyDescent="0.2">
      <c r="A13" t="str">
        <f>Archetype_Scores!A13</f>
        <v>Dominic Solanke</v>
      </c>
      <c r="B13">
        <f>_xlfn.XLOOKUP(A13, Raw_Data!A:A, Raw_Data!C:C)</f>
        <v>25</v>
      </c>
      <c r="C13">
        <f>_xlfn.XLOOKUP(A13, Raw_Data!A:A, Raw_Data!D:D)</f>
        <v>3325</v>
      </c>
      <c r="D13">
        <f>_xlfn.XLOOKUP(A13, Archetype_Scores!A:A, Archetype_Scores!B:B)</f>
        <v>0.63705000000000001</v>
      </c>
      <c r="E13">
        <f>_xlfn.XLOOKUP(A13, Archetype_Scores!A:A, Archetype_Scores!C:C)</f>
        <v>0.50465000000000004</v>
      </c>
      <c r="F13">
        <f>_xlfn.XLOOKUP(A13, Archetype_Scores!A:A, Archetype_Scores!D:D)</f>
        <v>0.37480000000000002</v>
      </c>
      <c r="G13">
        <f>_xlfn.XLOOKUP(A13, Archetype_Scores!A:A, Archetype_Scores!E:E)</f>
        <v>0.43190000000000001</v>
      </c>
    </row>
    <row r="14" spans="1:11" x14ac:dyDescent="0.2">
      <c r="A14" t="str">
        <f>Archetype_Scores!A14</f>
        <v>Diogo Jota</v>
      </c>
      <c r="B14">
        <f>_xlfn.XLOOKUP(A14, Raw_Data!A:A, Raw_Data!C:C)</f>
        <v>26</v>
      </c>
      <c r="C14">
        <f>_xlfn.XLOOKUP(A14, Raw_Data!A:A, Raw_Data!D:D)</f>
        <v>1145</v>
      </c>
      <c r="D14">
        <f>_xlfn.XLOOKUP(A14, Archetype_Scores!A:A, Archetype_Scores!B:B)</f>
        <v>0.63195000000000001</v>
      </c>
      <c r="E14">
        <f>_xlfn.XLOOKUP(A14, Archetype_Scores!A:A, Archetype_Scores!C:C)</f>
        <v>0.54135</v>
      </c>
      <c r="F14">
        <f>_xlfn.XLOOKUP(A14, Archetype_Scores!A:A, Archetype_Scores!D:D)</f>
        <v>0.69755</v>
      </c>
      <c r="G14">
        <f>_xlfn.XLOOKUP(A14, Archetype_Scores!A:A, Archetype_Scores!E:E)</f>
        <v>0.57750000000000001</v>
      </c>
    </row>
    <row r="15" spans="1:11" x14ac:dyDescent="0.2">
      <c r="A15" t="str">
        <f>Archetype_Scores!A15</f>
        <v>Gabriel Jesus</v>
      </c>
      <c r="B15">
        <f>_xlfn.XLOOKUP(A15, Raw_Data!A:A, Raw_Data!C:C)</f>
        <v>26</v>
      </c>
      <c r="C15">
        <f>_xlfn.XLOOKUP(A15, Raw_Data!A:A, Raw_Data!D:D)</f>
        <v>1478</v>
      </c>
      <c r="D15">
        <f>_xlfn.XLOOKUP(A15, Archetype_Scores!A:A, Archetype_Scores!B:B)</f>
        <v>0.62050000000000005</v>
      </c>
      <c r="E15">
        <f>_xlfn.XLOOKUP(A15, Archetype_Scores!A:A, Archetype_Scores!C:C)</f>
        <v>0.68799999999999994</v>
      </c>
      <c r="F15">
        <f>_xlfn.XLOOKUP(A15, Archetype_Scores!A:A, Archetype_Scores!D:D)</f>
        <v>0.56410000000000005</v>
      </c>
      <c r="G15">
        <f>_xlfn.XLOOKUP(A15, Archetype_Scores!A:A, Archetype_Scores!E:E)</f>
        <v>0.62539999999999996</v>
      </c>
    </row>
    <row r="16" spans="1:11" x14ac:dyDescent="0.2">
      <c r="A16" t="str">
        <f>Archetype_Scores!A16</f>
        <v>Nicolas Jackson</v>
      </c>
      <c r="B16">
        <f>_xlfn.XLOOKUP(A16, Raw_Data!A:A, Raw_Data!C:C)</f>
        <v>22</v>
      </c>
      <c r="C16">
        <f>_xlfn.XLOOKUP(A16, Raw_Data!A:A, Raw_Data!D:D)</f>
        <v>2799</v>
      </c>
      <c r="D16">
        <f>_xlfn.XLOOKUP(A16, Archetype_Scores!A:A, Archetype_Scores!B:B)</f>
        <v>0.60470000000000002</v>
      </c>
      <c r="E16">
        <f>_xlfn.XLOOKUP(A16, Archetype_Scores!A:A, Archetype_Scores!C:C)</f>
        <v>0.59024999999999994</v>
      </c>
      <c r="F16">
        <f>_xlfn.XLOOKUP(A16, Archetype_Scores!A:A, Archetype_Scores!D:D)</f>
        <v>0.5161</v>
      </c>
      <c r="G16">
        <f>_xlfn.XLOOKUP(A16, Archetype_Scores!A:A, Archetype_Scores!E:E)</f>
        <v>0.40234999999999999</v>
      </c>
    </row>
    <row r="17" spans="1:7" x14ac:dyDescent="0.2">
      <c r="A17" t="str">
        <f>Archetype_Scores!A17</f>
        <v>Luis Díaz</v>
      </c>
      <c r="B17">
        <f>_xlfn.XLOOKUP(A17, Raw_Data!A:A, Raw_Data!C:C)</f>
        <v>26</v>
      </c>
      <c r="C17">
        <f>_xlfn.XLOOKUP(A17, Raw_Data!A:A, Raw_Data!D:D)</f>
        <v>2629</v>
      </c>
      <c r="D17">
        <f>_xlfn.XLOOKUP(A17, Archetype_Scores!A:A, Archetype_Scores!B:B)</f>
        <v>0.58914999999999995</v>
      </c>
      <c r="E17">
        <f>_xlfn.XLOOKUP(A17, Archetype_Scores!A:A, Archetype_Scores!C:C)</f>
        <v>0.89019999999999999</v>
      </c>
      <c r="F17">
        <f>_xlfn.XLOOKUP(A17, Archetype_Scores!A:A, Archetype_Scores!D:D)</f>
        <v>0.87475000000000003</v>
      </c>
      <c r="G17">
        <f>_xlfn.XLOOKUP(A17, Archetype_Scores!A:A, Archetype_Scores!E:E)</f>
        <v>0.59970000000000001</v>
      </c>
    </row>
    <row r="18" spans="1:7" x14ac:dyDescent="0.2">
      <c r="A18" t="str">
        <f>Archetype_Scores!A18</f>
        <v>Ollie Watkins</v>
      </c>
      <c r="B18">
        <f>_xlfn.XLOOKUP(A18, Raw_Data!A:A, Raw_Data!C:C)</f>
        <v>27</v>
      </c>
      <c r="C18">
        <f>_xlfn.XLOOKUP(A18, Raw_Data!A:A, Raw_Data!D:D)</f>
        <v>3217</v>
      </c>
      <c r="D18">
        <f>_xlfn.XLOOKUP(A18, Archetype_Scores!A:A, Archetype_Scores!B:B)</f>
        <v>0.58619999999999994</v>
      </c>
      <c r="E18">
        <f>_xlfn.XLOOKUP(A18, Archetype_Scores!A:A, Archetype_Scores!C:C)</f>
        <v>0.59224999999999994</v>
      </c>
      <c r="F18">
        <f>_xlfn.XLOOKUP(A18, Archetype_Scores!A:A, Archetype_Scores!D:D)</f>
        <v>0.48509999999999998</v>
      </c>
      <c r="G18">
        <f>_xlfn.XLOOKUP(A18, Archetype_Scores!A:A, Archetype_Scores!E:E)</f>
        <v>0.38685000000000003</v>
      </c>
    </row>
    <row r="19" spans="1:7" x14ac:dyDescent="0.2">
      <c r="A19" t="str">
        <f>Archetype_Scores!A19</f>
        <v>Chris Wood</v>
      </c>
      <c r="B19">
        <f>_xlfn.XLOOKUP(A19, Raw_Data!A:A, Raw_Data!C:C)</f>
        <v>31</v>
      </c>
      <c r="C19">
        <f>_xlfn.XLOOKUP(A19, Raw_Data!A:A, Raw_Data!D:D)</f>
        <v>1812</v>
      </c>
      <c r="D19">
        <f>_xlfn.XLOOKUP(A19, Archetype_Scores!A:A, Archetype_Scores!B:B)</f>
        <v>0.58609999999999995</v>
      </c>
      <c r="E19">
        <f>_xlfn.XLOOKUP(A19, Archetype_Scores!A:A, Archetype_Scores!C:C)</f>
        <v>0.25695000000000001</v>
      </c>
      <c r="F19">
        <f>_xlfn.XLOOKUP(A19, Archetype_Scores!A:A, Archetype_Scores!D:D)</f>
        <v>0.11945</v>
      </c>
      <c r="G19">
        <f>_xlfn.XLOOKUP(A19, Archetype_Scores!A:A, Archetype_Scores!E:E)</f>
        <v>0.39544999999999997</v>
      </c>
    </row>
    <row r="20" spans="1:7" x14ac:dyDescent="0.2">
      <c r="A20" t="str">
        <f>Archetype_Scores!A20</f>
        <v>Alexander Isak</v>
      </c>
      <c r="B20">
        <f>_xlfn.XLOOKUP(A20, Raw_Data!A:A, Raw_Data!C:C)</f>
        <v>23</v>
      </c>
      <c r="C20">
        <f>_xlfn.XLOOKUP(A20, Raw_Data!A:A, Raw_Data!D:D)</f>
        <v>2255</v>
      </c>
      <c r="D20">
        <f>_xlfn.XLOOKUP(A20, Archetype_Scores!A:A, Archetype_Scores!B:B)</f>
        <v>0.58094999999999997</v>
      </c>
      <c r="E20">
        <f>_xlfn.XLOOKUP(A20, Archetype_Scores!A:A, Archetype_Scores!C:C)</f>
        <v>0.37159999999999999</v>
      </c>
      <c r="F20">
        <f>_xlfn.XLOOKUP(A20, Archetype_Scores!A:A, Archetype_Scores!D:D)</f>
        <v>0.57569999999999999</v>
      </c>
      <c r="G20">
        <f>_xlfn.XLOOKUP(A20, Archetype_Scores!A:A, Archetype_Scores!E:E)</f>
        <v>0.12990000000000002</v>
      </c>
    </row>
    <row r="21" spans="1:7" x14ac:dyDescent="0.2">
      <c r="A21" t="str">
        <f>Archetype_Scores!A21</f>
        <v>Ivan Toney</v>
      </c>
      <c r="B21">
        <f>_xlfn.XLOOKUP(A21, Raw_Data!A:A, Raw_Data!C:C)</f>
        <v>27</v>
      </c>
      <c r="C21">
        <f>_xlfn.XLOOKUP(A21, Raw_Data!A:A, Raw_Data!D:D)</f>
        <v>1450</v>
      </c>
      <c r="D21">
        <f>_xlfn.XLOOKUP(A21, Archetype_Scores!A:A, Archetype_Scores!B:B)</f>
        <v>0.56324999999999992</v>
      </c>
      <c r="E21">
        <f>_xlfn.XLOOKUP(A21, Archetype_Scores!A:A, Archetype_Scores!C:C)</f>
        <v>0.29874999999999996</v>
      </c>
      <c r="F21">
        <f>_xlfn.XLOOKUP(A21, Archetype_Scores!A:A, Archetype_Scores!D:D)</f>
        <v>0.3589</v>
      </c>
      <c r="G21">
        <f>_xlfn.XLOOKUP(A21, Archetype_Scores!A:A, Archetype_Scores!E:E)</f>
        <v>0.65799999999999992</v>
      </c>
    </row>
    <row r="22" spans="1:7" x14ac:dyDescent="0.2">
      <c r="A22" t="str">
        <f>Archetype_Scores!A22</f>
        <v>Bryan Mbeumo</v>
      </c>
      <c r="B22">
        <f>_xlfn.XLOOKUP(A22, Raw_Data!A:A, Raw_Data!C:C)</f>
        <v>23</v>
      </c>
      <c r="C22">
        <f>_xlfn.XLOOKUP(A22, Raw_Data!A:A, Raw_Data!D:D)</f>
        <v>1960</v>
      </c>
      <c r="D22">
        <f>_xlfn.XLOOKUP(A22, Archetype_Scores!A:A, Archetype_Scores!B:B)</f>
        <v>0.55894999999999995</v>
      </c>
      <c r="E22">
        <f>_xlfn.XLOOKUP(A22, Archetype_Scores!A:A, Archetype_Scores!C:C)</f>
        <v>0.65474999999999994</v>
      </c>
      <c r="F22">
        <f>_xlfn.XLOOKUP(A22, Archetype_Scores!A:A, Archetype_Scores!D:D)</f>
        <v>0.61320000000000008</v>
      </c>
      <c r="G22">
        <f>_xlfn.XLOOKUP(A22, Archetype_Scores!A:A, Archetype_Scores!E:E)</f>
        <v>0.56735000000000002</v>
      </c>
    </row>
    <row r="23" spans="1:7" x14ac:dyDescent="0.2">
      <c r="A23" t="str">
        <f>Archetype_Scores!A23</f>
        <v>Neal Maupay</v>
      </c>
      <c r="B23">
        <f>_xlfn.XLOOKUP(A23, Raw_Data!A:A, Raw_Data!C:C)</f>
        <v>26</v>
      </c>
      <c r="C23">
        <f>_xlfn.XLOOKUP(A23, Raw_Data!A:A, Raw_Data!D:D)</f>
        <v>1321</v>
      </c>
      <c r="D23">
        <f>_xlfn.XLOOKUP(A23, Archetype_Scores!A:A, Archetype_Scores!B:B)</f>
        <v>0.51855000000000007</v>
      </c>
      <c r="E23">
        <f>_xlfn.XLOOKUP(A23, Archetype_Scores!A:A, Archetype_Scores!C:C)</f>
        <v>0.29544999999999999</v>
      </c>
      <c r="F23">
        <f>_xlfn.XLOOKUP(A23, Archetype_Scores!A:A, Archetype_Scores!D:D)</f>
        <v>0.26934999999999998</v>
      </c>
      <c r="G23">
        <f>_xlfn.XLOOKUP(A23, Archetype_Scores!A:A, Archetype_Scores!E:E)</f>
        <v>0.38100000000000001</v>
      </c>
    </row>
    <row r="24" spans="1:7" x14ac:dyDescent="0.2">
      <c r="A24" t="str">
        <f>Archetype_Scores!A24</f>
        <v>Yoane Wissa</v>
      </c>
      <c r="B24">
        <f>_xlfn.XLOOKUP(A24, Raw_Data!A:A, Raw_Data!C:C)</f>
        <v>26</v>
      </c>
      <c r="C24">
        <f>_xlfn.XLOOKUP(A24, Raw_Data!A:A, Raw_Data!D:D)</f>
        <v>2493</v>
      </c>
      <c r="D24">
        <f>_xlfn.XLOOKUP(A24, Archetype_Scores!A:A, Archetype_Scores!B:B)</f>
        <v>0.51319999999999999</v>
      </c>
      <c r="E24">
        <f>_xlfn.XLOOKUP(A24, Archetype_Scores!A:A, Archetype_Scores!C:C)</f>
        <v>0.36294999999999999</v>
      </c>
      <c r="F24">
        <f>_xlfn.XLOOKUP(A24, Archetype_Scores!A:A, Archetype_Scores!D:D)</f>
        <v>0.37485000000000002</v>
      </c>
      <c r="G24">
        <f>_xlfn.XLOOKUP(A24, Archetype_Scores!A:A, Archetype_Scores!E:E)</f>
        <v>0.52324999999999999</v>
      </c>
    </row>
    <row r="25" spans="1:7" x14ac:dyDescent="0.2">
      <c r="A25" t="str">
        <f>Archetype_Scores!A25</f>
        <v>Raúl Jiménez</v>
      </c>
      <c r="B25">
        <f>_xlfn.XLOOKUP(A25, Raw_Data!A:A, Raw_Data!C:C)</f>
        <v>32</v>
      </c>
      <c r="C25">
        <f>_xlfn.XLOOKUP(A25, Raw_Data!A:A, Raw_Data!D:D)</f>
        <v>1395</v>
      </c>
      <c r="D25">
        <f>_xlfn.XLOOKUP(A25, Archetype_Scores!A:A, Archetype_Scores!B:B)</f>
        <v>0.50150000000000006</v>
      </c>
      <c r="E25">
        <f>_xlfn.XLOOKUP(A25, Archetype_Scores!A:A, Archetype_Scores!C:C)</f>
        <v>0.26</v>
      </c>
      <c r="F25">
        <f>_xlfn.XLOOKUP(A25, Archetype_Scores!A:A, Archetype_Scores!D:D)</f>
        <v>0.16294999999999998</v>
      </c>
      <c r="G25">
        <f>_xlfn.XLOOKUP(A25, Archetype_Scores!A:A, Archetype_Scores!E:E)</f>
        <v>0.5442499999999999</v>
      </c>
    </row>
    <row r="26" spans="1:7" x14ac:dyDescent="0.2">
      <c r="A26" t="str">
        <f>Archetype_Scores!A26</f>
        <v>Alejandro Garnacho</v>
      </c>
      <c r="B26">
        <f>_xlfn.XLOOKUP(A26, Raw_Data!A:A, Raw_Data!C:C)</f>
        <v>19</v>
      </c>
      <c r="C26">
        <f>_xlfn.XLOOKUP(A26, Raw_Data!A:A, Raw_Data!D:D)</f>
        <v>2565</v>
      </c>
      <c r="D26">
        <f>_xlfn.XLOOKUP(A26, Archetype_Scores!A:A, Archetype_Scores!B:B)</f>
        <v>0.48409999999999992</v>
      </c>
      <c r="E26">
        <f>_xlfn.XLOOKUP(A26, Archetype_Scores!A:A, Archetype_Scores!C:C)</f>
        <v>0.87799999999999989</v>
      </c>
      <c r="F26">
        <f>_xlfn.XLOOKUP(A26, Archetype_Scores!A:A, Archetype_Scores!D:D)</f>
        <v>0.95604999999999996</v>
      </c>
      <c r="G26">
        <f>_xlfn.XLOOKUP(A26, Archetype_Scores!A:A, Archetype_Scores!E:E)</f>
        <v>0.56509999999999994</v>
      </c>
    </row>
    <row r="27" spans="1:7" x14ac:dyDescent="0.2">
      <c r="A27" t="str">
        <f>Archetype_Scores!A27</f>
        <v>Brennan Johnson</v>
      </c>
      <c r="B27">
        <f>_xlfn.XLOOKUP(A27, Raw_Data!A:A, Raw_Data!C:C)</f>
        <v>22</v>
      </c>
      <c r="C27">
        <f>_xlfn.XLOOKUP(A27, Raw_Data!A:A, Raw_Data!D:D)</f>
        <v>2085</v>
      </c>
      <c r="D27">
        <f>_xlfn.XLOOKUP(A27, Archetype_Scores!A:A, Archetype_Scores!B:B)</f>
        <v>0.47669999999999996</v>
      </c>
      <c r="E27">
        <f>_xlfn.XLOOKUP(A27, Archetype_Scores!A:A, Archetype_Scores!C:C)</f>
        <v>0.77675000000000005</v>
      </c>
      <c r="F27">
        <f>_xlfn.XLOOKUP(A27, Archetype_Scores!A:A, Archetype_Scores!D:D)</f>
        <v>0.64534999999999998</v>
      </c>
      <c r="G27">
        <f>_xlfn.XLOOKUP(A27, Archetype_Scores!A:A, Archetype_Scores!E:E)</f>
        <v>0.38105</v>
      </c>
    </row>
    <row r="28" spans="1:7" x14ac:dyDescent="0.2">
      <c r="A28" t="str">
        <f>Archetype_Scores!A28</f>
        <v>Gabriel Martinelli</v>
      </c>
      <c r="B28">
        <f>_xlfn.XLOOKUP(A28, Raw_Data!A:A, Raw_Data!C:C)</f>
        <v>22</v>
      </c>
      <c r="C28">
        <f>_xlfn.XLOOKUP(A28, Raw_Data!A:A, Raw_Data!D:D)</f>
        <v>2019</v>
      </c>
      <c r="D28">
        <f>_xlfn.XLOOKUP(A28, Archetype_Scores!A:A, Archetype_Scores!B:B)</f>
        <v>0.45999999999999996</v>
      </c>
      <c r="E28">
        <f>_xlfn.XLOOKUP(A28, Archetype_Scores!A:A, Archetype_Scores!C:C)</f>
        <v>0.94355</v>
      </c>
      <c r="F28">
        <f>_xlfn.XLOOKUP(A28, Archetype_Scores!A:A, Archetype_Scores!D:D)</f>
        <v>0.88180000000000014</v>
      </c>
      <c r="G28">
        <f>_xlfn.XLOOKUP(A28, Archetype_Scores!A:A, Archetype_Scores!E:E)</f>
        <v>0.6018</v>
      </c>
    </row>
    <row r="29" spans="1:7" x14ac:dyDescent="0.2">
      <c r="A29" t="str">
        <f>Archetype_Scores!A29</f>
        <v>Taiwo Awoniyi</v>
      </c>
      <c r="B29">
        <f>_xlfn.XLOOKUP(A29, Raw_Data!A:A, Raw_Data!C:C)</f>
        <v>25</v>
      </c>
      <c r="C29">
        <f>_xlfn.XLOOKUP(A29, Raw_Data!A:A, Raw_Data!D:D)</f>
        <v>1042</v>
      </c>
      <c r="D29">
        <f>_xlfn.XLOOKUP(A29, Archetype_Scores!A:A, Archetype_Scores!B:B)</f>
        <v>0.45394999999999996</v>
      </c>
      <c r="E29">
        <f>_xlfn.XLOOKUP(A29, Archetype_Scores!A:A, Archetype_Scores!C:C)</f>
        <v>5.8099999999999999E-2</v>
      </c>
      <c r="F29">
        <f>_xlfn.XLOOKUP(A29, Archetype_Scores!A:A, Archetype_Scores!D:D)</f>
        <v>8.3000000000000004E-2</v>
      </c>
      <c r="G29">
        <f>_xlfn.XLOOKUP(A29, Archetype_Scores!A:A, Archetype_Scores!E:E)</f>
        <v>0.23414999999999997</v>
      </c>
    </row>
    <row r="30" spans="1:7" x14ac:dyDescent="0.2">
      <c r="A30" t="str">
        <f>Archetype_Scores!A30</f>
        <v>Jarrod Bowen</v>
      </c>
      <c r="B30">
        <f>_xlfn.XLOOKUP(A30, Raw_Data!A:A, Raw_Data!C:C)</f>
        <v>26</v>
      </c>
      <c r="C30">
        <f>_xlfn.XLOOKUP(A30, Raw_Data!A:A, Raw_Data!D:D)</f>
        <v>3019</v>
      </c>
      <c r="D30">
        <f>_xlfn.XLOOKUP(A30, Archetype_Scores!A:A, Archetype_Scores!B:B)</f>
        <v>0.44534999999999997</v>
      </c>
      <c r="E30">
        <f>_xlfn.XLOOKUP(A30, Archetype_Scores!A:A, Archetype_Scores!C:C)</f>
        <v>0.50919999999999999</v>
      </c>
      <c r="F30">
        <f>_xlfn.XLOOKUP(A30, Archetype_Scores!A:A, Archetype_Scores!D:D)</f>
        <v>0.57245000000000001</v>
      </c>
      <c r="G30">
        <f>_xlfn.XLOOKUP(A30, Archetype_Scores!A:A, Archetype_Scores!E:E)</f>
        <v>0.31945000000000001</v>
      </c>
    </row>
    <row r="31" spans="1:7" x14ac:dyDescent="0.2">
      <c r="A31" t="str">
        <f>Archetype_Scores!A31</f>
        <v>Jean-Philippe Mateta</v>
      </c>
      <c r="B31">
        <f>_xlfn.XLOOKUP(A31, Raw_Data!A:A, Raw_Data!C:C)</f>
        <v>26</v>
      </c>
      <c r="C31">
        <f>_xlfn.XLOOKUP(A31, Raw_Data!A:A, Raw_Data!D:D)</f>
        <v>2282</v>
      </c>
      <c r="D31">
        <f>_xlfn.XLOOKUP(A31, Archetype_Scores!A:A, Archetype_Scores!B:B)</f>
        <v>0.43804999999999999</v>
      </c>
      <c r="E31">
        <f>_xlfn.XLOOKUP(A31, Archetype_Scores!A:A, Archetype_Scores!C:C)</f>
        <v>0.3765</v>
      </c>
      <c r="F31">
        <f>_xlfn.XLOOKUP(A31, Archetype_Scores!A:A, Archetype_Scores!D:D)</f>
        <v>0.16694999999999999</v>
      </c>
      <c r="G31">
        <f>_xlfn.XLOOKUP(A31, Archetype_Scores!A:A, Archetype_Scores!E:E)</f>
        <v>0.35175000000000001</v>
      </c>
    </row>
    <row r="32" spans="1:7" x14ac:dyDescent="0.2">
      <c r="A32" t="str">
        <f>Archetype_Scores!A32</f>
        <v>Antoine Semenyo</v>
      </c>
      <c r="B32">
        <f>_xlfn.XLOOKUP(A32, Raw_Data!A:A, Raw_Data!C:C)</f>
        <v>23</v>
      </c>
      <c r="C32">
        <f>_xlfn.XLOOKUP(A32, Raw_Data!A:A, Raw_Data!D:D)</f>
        <v>2105</v>
      </c>
      <c r="D32">
        <f>_xlfn.XLOOKUP(A32, Archetype_Scores!A:A, Archetype_Scores!B:B)</f>
        <v>0.436</v>
      </c>
      <c r="E32">
        <f>_xlfn.XLOOKUP(A32, Archetype_Scores!A:A, Archetype_Scores!C:C)</f>
        <v>0.58479999999999999</v>
      </c>
      <c r="F32">
        <f>_xlfn.XLOOKUP(A32, Archetype_Scores!A:A, Archetype_Scores!D:D)</f>
        <v>0.74054999999999993</v>
      </c>
      <c r="G32">
        <f>_xlfn.XLOOKUP(A32, Archetype_Scores!A:A, Archetype_Scores!E:E)</f>
        <v>0.47454999999999997</v>
      </c>
    </row>
    <row r="33" spans="1:7" x14ac:dyDescent="0.2">
      <c r="A33" t="str">
        <f>Archetype_Scores!A33</f>
        <v>Elijah Adebayo</v>
      </c>
      <c r="B33">
        <f>_xlfn.XLOOKUP(A33, Raw_Data!A:A, Raw_Data!C:C)</f>
        <v>25</v>
      </c>
      <c r="C33">
        <f>_xlfn.XLOOKUP(A33, Raw_Data!A:A, Raw_Data!D:D)</f>
        <v>1419</v>
      </c>
      <c r="D33">
        <f>_xlfn.XLOOKUP(A33, Archetype_Scores!A:A, Archetype_Scores!B:B)</f>
        <v>0.43509999999999999</v>
      </c>
      <c r="E33">
        <f>_xlfn.XLOOKUP(A33, Archetype_Scores!A:A, Archetype_Scores!C:C)</f>
        <v>0.26829999999999998</v>
      </c>
      <c r="F33">
        <f>_xlfn.XLOOKUP(A33, Archetype_Scores!A:A, Archetype_Scores!D:D)</f>
        <v>0.13389999999999999</v>
      </c>
      <c r="G33">
        <f>_xlfn.XLOOKUP(A33, Archetype_Scores!A:A, Archetype_Scores!E:E)</f>
        <v>0.50274999999999992</v>
      </c>
    </row>
    <row r="34" spans="1:7" x14ac:dyDescent="0.2">
      <c r="A34" t="str">
        <f>Archetype_Scores!A34</f>
        <v>Anthony Gordon</v>
      </c>
      <c r="B34">
        <f>_xlfn.XLOOKUP(A34, Raw_Data!A:A, Raw_Data!C:C)</f>
        <v>22</v>
      </c>
      <c r="C34">
        <f>_xlfn.XLOOKUP(A34, Raw_Data!A:A, Raw_Data!D:D)</f>
        <v>2890</v>
      </c>
      <c r="D34">
        <f>_xlfn.XLOOKUP(A34, Archetype_Scores!A:A, Archetype_Scores!B:B)</f>
        <v>0.41320000000000001</v>
      </c>
      <c r="E34">
        <f>_xlfn.XLOOKUP(A34, Archetype_Scores!A:A, Archetype_Scores!C:C)</f>
        <v>0.7037500000000001</v>
      </c>
      <c r="F34">
        <f>_xlfn.XLOOKUP(A34, Archetype_Scores!A:A, Archetype_Scores!D:D)</f>
        <v>0.75574999999999992</v>
      </c>
      <c r="G34">
        <f>_xlfn.XLOOKUP(A34, Archetype_Scores!A:A, Archetype_Scores!E:E)</f>
        <v>0.5465000000000001</v>
      </c>
    </row>
    <row r="35" spans="1:7" x14ac:dyDescent="0.2">
      <c r="A35" t="str">
        <f>Archetype_Scores!A35</f>
        <v>Son Heung-min</v>
      </c>
      <c r="B35">
        <f>_xlfn.XLOOKUP(A35, Raw_Data!A:A, Raw_Data!C:C)</f>
        <v>31</v>
      </c>
      <c r="C35">
        <f>_xlfn.XLOOKUP(A35, Raw_Data!A:A, Raw_Data!D:D)</f>
        <v>2934</v>
      </c>
      <c r="D35">
        <f>_xlfn.XLOOKUP(A35, Archetype_Scores!A:A, Archetype_Scores!B:B)</f>
        <v>0.39734999999999998</v>
      </c>
      <c r="E35">
        <f>_xlfn.XLOOKUP(A35, Archetype_Scores!A:A, Archetype_Scores!C:C)</f>
        <v>0.85704999999999998</v>
      </c>
      <c r="F35">
        <f>_xlfn.XLOOKUP(A35, Archetype_Scores!A:A, Archetype_Scores!D:D)</f>
        <v>0.69364999999999988</v>
      </c>
      <c r="G35">
        <f>_xlfn.XLOOKUP(A35, Archetype_Scores!A:A, Archetype_Scores!E:E)</f>
        <v>0.39549999999999996</v>
      </c>
    </row>
    <row r="36" spans="1:7" x14ac:dyDescent="0.2">
      <c r="A36" t="str">
        <f>Archetype_Scores!A36</f>
        <v>Kaoru Mitoma</v>
      </c>
      <c r="B36">
        <f>_xlfn.XLOOKUP(A36, Raw_Data!A:A, Raw_Data!C:C)</f>
        <v>26</v>
      </c>
      <c r="C36">
        <f>_xlfn.XLOOKUP(A36, Raw_Data!A:A, Raw_Data!D:D)</f>
        <v>1486</v>
      </c>
      <c r="D36">
        <f>_xlfn.XLOOKUP(A36, Archetype_Scores!A:A, Archetype_Scores!B:B)</f>
        <v>0.37789999999999996</v>
      </c>
      <c r="E36">
        <f>_xlfn.XLOOKUP(A36, Archetype_Scores!A:A, Archetype_Scores!C:C)</f>
        <v>0.77254999999999996</v>
      </c>
      <c r="F36">
        <f>_xlfn.XLOOKUP(A36, Archetype_Scores!A:A, Archetype_Scores!D:D)</f>
        <v>0.83314999999999995</v>
      </c>
      <c r="G36">
        <f>_xlfn.XLOOKUP(A36, Archetype_Scores!A:A, Archetype_Scores!E:E)</f>
        <v>0.82474999999999998</v>
      </c>
    </row>
    <row r="37" spans="1:7" x14ac:dyDescent="0.2">
      <c r="A37" t="str">
        <f>Archetype_Scores!A37</f>
        <v>Noni Madueke</v>
      </c>
      <c r="B37">
        <f>_xlfn.XLOOKUP(A37, Raw_Data!A:A, Raw_Data!C:C)</f>
        <v>21</v>
      </c>
      <c r="C37">
        <f>_xlfn.XLOOKUP(A37, Raw_Data!A:A, Raw_Data!D:D)</f>
        <v>1053</v>
      </c>
      <c r="D37">
        <f>_xlfn.XLOOKUP(A37, Archetype_Scores!A:A, Archetype_Scores!B:B)</f>
        <v>0.37779999999999997</v>
      </c>
      <c r="E37">
        <f>_xlfn.XLOOKUP(A37, Archetype_Scores!A:A, Archetype_Scores!C:C)</f>
        <v>0.62999999999999989</v>
      </c>
      <c r="F37">
        <f>_xlfn.XLOOKUP(A37, Archetype_Scores!A:A, Archetype_Scores!D:D)</f>
        <v>0.83819999999999995</v>
      </c>
      <c r="G37">
        <f>_xlfn.XLOOKUP(A37, Archetype_Scores!A:A, Archetype_Scores!E:E)</f>
        <v>0.74344999999999994</v>
      </c>
    </row>
    <row r="38" spans="1:7" x14ac:dyDescent="0.2">
      <c r="A38" t="str">
        <f>Archetype_Scores!A38</f>
        <v>Evan Ferguson</v>
      </c>
      <c r="B38">
        <f>_xlfn.XLOOKUP(A38, Raw_Data!A:A, Raw_Data!C:C)</f>
        <v>18</v>
      </c>
      <c r="C38">
        <f>_xlfn.XLOOKUP(A38, Raw_Data!A:A, Raw_Data!D:D)</f>
        <v>1367</v>
      </c>
      <c r="D38">
        <f>_xlfn.XLOOKUP(A38, Archetype_Scores!A:A, Archetype_Scores!B:B)</f>
        <v>0.3639</v>
      </c>
      <c r="E38">
        <f>_xlfn.XLOOKUP(A38, Archetype_Scores!A:A, Archetype_Scores!C:C)</f>
        <v>9.0299999999999991E-2</v>
      </c>
      <c r="F38">
        <f>_xlfn.XLOOKUP(A38, Archetype_Scores!A:A, Archetype_Scores!D:D)</f>
        <v>0.11015</v>
      </c>
      <c r="G38">
        <f>_xlfn.XLOOKUP(A38, Archetype_Scores!A:A, Archetype_Scores!E:E)</f>
        <v>0.46929999999999999</v>
      </c>
    </row>
    <row r="39" spans="1:7" x14ac:dyDescent="0.2">
      <c r="A39" t="str">
        <f>Archetype_Scores!A39</f>
        <v>Michail Antonio</v>
      </c>
      <c r="B39">
        <f>_xlfn.XLOOKUP(A39, Raw_Data!A:A, Raw_Data!C:C)</f>
        <v>33</v>
      </c>
      <c r="C39">
        <f>_xlfn.XLOOKUP(A39, Raw_Data!A:A, Raw_Data!D:D)</f>
        <v>1695</v>
      </c>
      <c r="D39">
        <f>_xlfn.XLOOKUP(A39, Archetype_Scores!A:A, Archetype_Scores!B:B)</f>
        <v>0.35994999999999999</v>
      </c>
      <c r="E39">
        <f>_xlfn.XLOOKUP(A39, Archetype_Scores!A:A, Archetype_Scores!C:C)</f>
        <v>0.13880000000000001</v>
      </c>
      <c r="F39">
        <f>_xlfn.XLOOKUP(A39, Archetype_Scores!A:A, Archetype_Scores!D:D)</f>
        <v>0.37890000000000001</v>
      </c>
      <c r="G39">
        <f>_xlfn.XLOOKUP(A39, Archetype_Scores!A:A, Archetype_Scores!E:E)</f>
        <v>0.3775</v>
      </c>
    </row>
    <row r="40" spans="1:7" x14ac:dyDescent="0.2">
      <c r="A40" t="str">
        <f>Archetype_Scores!A40</f>
        <v>Bobby De Cordova-Reid</v>
      </c>
      <c r="B40">
        <f>_xlfn.XLOOKUP(A40, Raw_Data!A:A, Raw_Data!C:C)</f>
        <v>30</v>
      </c>
      <c r="C40">
        <f>_xlfn.XLOOKUP(A40, Raw_Data!A:A, Raw_Data!D:D)</f>
        <v>1423</v>
      </c>
      <c r="D40">
        <f>_xlfn.XLOOKUP(A40, Archetype_Scores!A:A, Archetype_Scores!B:B)</f>
        <v>0.34135000000000004</v>
      </c>
      <c r="E40">
        <f>_xlfn.XLOOKUP(A40, Archetype_Scores!A:A, Archetype_Scores!C:C)</f>
        <v>0.32040000000000002</v>
      </c>
      <c r="F40">
        <f>_xlfn.XLOOKUP(A40, Archetype_Scores!A:A, Archetype_Scores!D:D)</f>
        <v>0.31520000000000004</v>
      </c>
      <c r="G40">
        <f>_xlfn.XLOOKUP(A40, Archetype_Scores!A:A, Archetype_Scores!E:E)</f>
        <v>0.43835000000000002</v>
      </c>
    </row>
    <row r="41" spans="1:7" x14ac:dyDescent="0.2">
      <c r="A41" t="str">
        <f>Archetype_Scores!A41</f>
        <v>Zeki Amdouni</v>
      </c>
      <c r="B41">
        <f>_xlfn.XLOOKUP(A41, Raw_Data!A:A, Raw_Data!C:C)</f>
        <v>22</v>
      </c>
      <c r="C41">
        <f>_xlfn.XLOOKUP(A41, Raw_Data!A:A, Raw_Data!D:D)</f>
        <v>1953</v>
      </c>
      <c r="D41">
        <f>_xlfn.XLOOKUP(A41, Archetype_Scores!A:A, Archetype_Scores!B:B)</f>
        <v>0.33810000000000001</v>
      </c>
      <c r="E41">
        <f>_xlfn.XLOOKUP(A41, Archetype_Scores!A:A, Archetype_Scores!C:C)</f>
        <v>0.23724999999999996</v>
      </c>
      <c r="F41">
        <f>_xlfn.XLOOKUP(A41, Archetype_Scores!A:A, Archetype_Scores!D:D)</f>
        <v>0.48089999999999999</v>
      </c>
      <c r="G41">
        <f>_xlfn.XLOOKUP(A41, Archetype_Scores!A:A, Archetype_Scores!E:E)</f>
        <v>0.29859999999999998</v>
      </c>
    </row>
    <row r="42" spans="1:7" x14ac:dyDescent="0.2">
      <c r="A42" t="str">
        <f>Archetype_Scores!A42</f>
        <v>Antony</v>
      </c>
      <c r="B42">
        <f>_xlfn.XLOOKUP(A42, Raw_Data!A:A, Raw_Data!C:C)</f>
        <v>23</v>
      </c>
      <c r="C42">
        <f>_xlfn.XLOOKUP(A42, Raw_Data!A:A, Raw_Data!D:D)</f>
        <v>1324</v>
      </c>
      <c r="D42">
        <f>_xlfn.XLOOKUP(A42, Archetype_Scores!A:A, Archetype_Scores!B:B)</f>
        <v>0.33279999999999998</v>
      </c>
      <c r="E42">
        <f>_xlfn.XLOOKUP(A42, Archetype_Scores!A:A, Archetype_Scores!C:C)</f>
        <v>0.52875000000000005</v>
      </c>
      <c r="F42">
        <f>_xlfn.XLOOKUP(A42, Archetype_Scores!A:A, Archetype_Scores!D:D)</f>
        <v>0.68480000000000008</v>
      </c>
      <c r="G42">
        <f>_xlfn.XLOOKUP(A42, Archetype_Scores!A:A, Archetype_Scores!E:E)</f>
        <v>0.48</v>
      </c>
    </row>
    <row r="43" spans="1:7" x14ac:dyDescent="0.2">
      <c r="A43" t="str">
        <f>Archetype_Scores!A43</f>
        <v>Marcus Rashford</v>
      </c>
      <c r="B43">
        <f>_xlfn.XLOOKUP(A43, Raw_Data!A:A, Raw_Data!C:C)</f>
        <v>25</v>
      </c>
      <c r="C43">
        <f>_xlfn.XLOOKUP(A43, Raw_Data!A:A, Raw_Data!D:D)</f>
        <v>2271</v>
      </c>
      <c r="D43">
        <f>_xlfn.XLOOKUP(A43, Archetype_Scores!A:A, Archetype_Scores!B:B)</f>
        <v>0.31414999999999993</v>
      </c>
      <c r="E43">
        <f>_xlfn.XLOOKUP(A43, Archetype_Scores!A:A, Archetype_Scores!C:C)</f>
        <v>0.55264999999999997</v>
      </c>
      <c r="F43">
        <f>_xlfn.XLOOKUP(A43, Archetype_Scores!A:A, Archetype_Scores!D:D)</f>
        <v>0.69350000000000001</v>
      </c>
      <c r="G43">
        <f>_xlfn.XLOOKUP(A43, Archetype_Scores!A:A, Archetype_Scores!E:E)</f>
        <v>0.39549999999999996</v>
      </c>
    </row>
    <row r="44" spans="1:7" x14ac:dyDescent="0.2">
      <c r="A44" t="str">
        <f>Archetype_Scores!A44</f>
        <v>Rasmus Højlund</v>
      </c>
      <c r="B44">
        <f>_xlfn.XLOOKUP(A44, Raw_Data!A:A, Raw_Data!C:C)</f>
        <v>20</v>
      </c>
      <c r="C44">
        <f>_xlfn.XLOOKUP(A44, Raw_Data!A:A, Raw_Data!D:D)</f>
        <v>2158</v>
      </c>
      <c r="D44">
        <f>_xlfn.XLOOKUP(A44, Archetype_Scores!A:A, Archetype_Scores!B:B)</f>
        <v>0.29535</v>
      </c>
      <c r="E44">
        <f>_xlfn.XLOOKUP(A44, Archetype_Scores!A:A, Archetype_Scores!C:C)</f>
        <v>0.2671</v>
      </c>
      <c r="F44">
        <f>_xlfn.XLOOKUP(A44, Archetype_Scores!A:A, Archetype_Scores!D:D)</f>
        <v>0.26100000000000001</v>
      </c>
      <c r="G44">
        <f>_xlfn.XLOOKUP(A44, Archetype_Scores!A:A, Archetype_Scores!E:E)</f>
        <v>0.16915000000000002</v>
      </c>
    </row>
    <row r="45" spans="1:7" x14ac:dyDescent="0.2">
      <c r="A45" t="str">
        <f>Archetype_Scores!A45</f>
        <v>Mykhailo Mudryk</v>
      </c>
      <c r="B45">
        <f>_xlfn.XLOOKUP(A45, Raw_Data!A:A, Raw_Data!C:C)</f>
        <v>22</v>
      </c>
      <c r="C45">
        <f>_xlfn.XLOOKUP(A45, Raw_Data!A:A, Raw_Data!D:D)</f>
        <v>1576</v>
      </c>
      <c r="D45">
        <f>_xlfn.XLOOKUP(A45, Archetype_Scores!A:A, Archetype_Scores!B:B)</f>
        <v>0.29020000000000001</v>
      </c>
      <c r="E45">
        <f>_xlfn.XLOOKUP(A45, Archetype_Scores!A:A, Archetype_Scores!C:C)</f>
        <v>0.56414999999999993</v>
      </c>
      <c r="F45">
        <f>_xlfn.XLOOKUP(A45, Archetype_Scores!A:A, Archetype_Scores!D:D)</f>
        <v>0.73390000000000011</v>
      </c>
      <c r="G45">
        <f>_xlfn.XLOOKUP(A45, Archetype_Scores!A:A, Archetype_Scores!E:E)</f>
        <v>0.48294999999999999</v>
      </c>
    </row>
    <row r="46" spans="1:7" x14ac:dyDescent="0.2">
      <c r="A46" t="str">
        <f>Archetype_Scores!A46</f>
        <v>Harry Wilson</v>
      </c>
      <c r="B46">
        <f>_xlfn.XLOOKUP(A46, Raw_Data!A:A, Raw_Data!C:C)</f>
        <v>26</v>
      </c>
      <c r="C46">
        <f>_xlfn.XLOOKUP(A46, Raw_Data!A:A, Raw_Data!D:D)</f>
        <v>1620</v>
      </c>
      <c r="D46">
        <f>_xlfn.XLOOKUP(A46, Archetype_Scores!A:A, Archetype_Scores!B:B)</f>
        <v>0.27265</v>
      </c>
      <c r="E46">
        <f>_xlfn.XLOOKUP(A46, Archetype_Scores!A:A, Archetype_Scores!C:C)</f>
        <v>0.4446</v>
      </c>
      <c r="F46">
        <f>_xlfn.XLOOKUP(A46, Archetype_Scores!A:A, Archetype_Scores!D:D)</f>
        <v>0.43709999999999999</v>
      </c>
      <c r="G46">
        <f>_xlfn.XLOOKUP(A46, Archetype_Scores!A:A, Archetype_Scores!E:E)</f>
        <v>0.71645000000000003</v>
      </c>
    </row>
    <row r="47" spans="1:7" x14ac:dyDescent="0.2">
      <c r="A47" t="str">
        <f>Archetype_Scores!A47</f>
        <v>Willian</v>
      </c>
      <c r="B47">
        <f>_xlfn.XLOOKUP(A47, Raw_Data!A:A, Raw_Data!C:C)</f>
        <v>34</v>
      </c>
      <c r="C47">
        <f>_xlfn.XLOOKUP(A47, Raw_Data!A:A, Raw_Data!D:D)</f>
        <v>2053</v>
      </c>
      <c r="D47">
        <f>_xlfn.XLOOKUP(A47, Archetype_Scores!A:A, Archetype_Scores!B:B)</f>
        <v>0.25669999999999998</v>
      </c>
      <c r="E47">
        <f>_xlfn.XLOOKUP(A47, Archetype_Scores!A:A, Archetype_Scores!C:C)</f>
        <v>0.69769999999999999</v>
      </c>
      <c r="F47">
        <f>_xlfn.XLOOKUP(A47, Archetype_Scores!A:A, Archetype_Scores!D:D)</f>
        <v>0.64854999999999996</v>
      </c>
      <c r="G47">
        <f>_xlfn.XLOOKUP(A47, Archetype_Scores!A:A, Archetype_Scores!E:E)</f>
        <v>0.54144999999999988</v>
      </c>
    </row>
    <row r="48" spans="1:7" x14ac:dyDescent="0.2">
      <c r="A48" t="str">
        <f>Archetype_Scores!A48</f>
        <v>Simon Adingra</v>
      </c>
      <c r="B48">
        <f>_xlfn.XLOOKUP(A48, Raw_Data!A:A, Raw_Data!C:C)</f>
        <v>21</v>
      </c>
      <c r="C48">
        <f>_xlfn.XLOOKUP(A48, Raw_Data!A:A, Raw_Data!D:D)</f>
        <v>2222</v>
      </c>
      <c r="D48">
        <f>_xlfn.XLOOKUP(A48, Archetype_Scores!A:A, Archetype_Scores!B:B)</f>
        <v>0.23390000000000002</v>
      </c>
      <c r="E48">
        <f>_xlfn.XLOOKUP(A48, Archetype_Scores!A:A, Archetype_Scores!C:C)</f>
        <v>0.71745000000000003</v>
      </c>
      <c r="F48">
        <f>_xlfn.XLOOKUP(A48, Archetype_Scores!A:A, Archetype_Scores!D:D)</f>
        <v>0.75080000000000002</v>
      </c>
      <c r="G48">
        <f>_xlfn.XLOOKUP(A48, Archetype_Scores!A:A, Archetype_Scores!E:E)</f>
        <v>0.48725000000000002</v>
      </c>
    </row>
    <row r="49" spans="1:7" x14ac:dyDescent="0.2">
      <c r="A49" t="str">
        <f>Archetype_Scores!A49</f>
        <v>Marcus Tavernier</v>
      </c>
      <c r="B49">
        <f>_xlfn.XLOOKUP(A49, Raw_Data!A:A, Raw_Data!C:C)</f>
        <v>24</v>
      </c>
      <c r="C49">
        <f>_xlfn.XLOOKUP(A49, Raw_Data!A:A, Raw_Data!D:D)</f>
        <v>2118</v>
      </c>
      <c r="D49">
        <f>_xlfn.XLOOKUP(A49, Archetype_Scores!A:A, Archetype_Scores!B:B)</f>
        <v>0.21115</v>
      </c>
      <c r="E49">
        <f>_xlfn.XLOOKUP(A49, Archetype_Scores!A:A, Archetype_Scores!C:C)</f>
        <v>0.60365000000000002</v>
      </c>
      <c r="F49">
        <f>_xlfn.XLOOKUP(A49, Archetype_Scores!A:A, Archetype_Scores!D:D)</f>
        <v>0.57985000000000009</v>
      </c>
      <c r="G49">
        <f>_xlfn.XLOOKUP(A49, Archetype_Scores!A:A, Archetype_Scores!E:E)</f>
        <v>0.29309999999999997</v>
      </c>
    </row>
    <row r="50" spans="1:7" x14ac:dyDescent="0.2">
      <c r="A50" t="str">
        <f>Archetype_Scores!A50</f>
        <v>Miguel Almirón</v>
      </c>
      <c r="B50">
        <f>_xlfn.XLOOKUP(A50, Raw_Data!A:A, Raw_Data!C:C)</f>
        <v>29</v>
      </c>
      <c r="C50">
        <f>_xlfn.XLOOKUP(A50, Raw_Data!A:A, Raw_Data!D:D)</f>
        <v>1937</v>
      </c>
      <c r="D50">
        <f>_xlfn.XLOOKUP(A50, Archetype_Scores!A:A, Archetype_Scores!B:B)</f>
        <v>0.1714</v>
      </c>
      <c r="E50">
        <f>_xlfn.XLOOKUP(A50, Archetype_Scores!A:A, Archetype_Scores!C:C)</f>
        <v>0.55160000000000009</v>
      </c>
      <c r="F50">
        <f>_xlfn.XLOOKUP(A50, Archetype_Scores!A:A, Archetype_Scores!D:D)</f>
        <v>0.55069999999999997</v>
      </c>
      <c r="G50">
        <f>_xlfn.XLOOKUP(A50, Archetype_Scores!A:A, Archetype_Scores!E:E)</f>
        <v>0.57565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Raw_Data</vt:lpstr>
      <vt:lpstr>Normalized</vt:lpstr>
      <vt:lpstr>Archetype_Scores</vt:lpstr>
      <vt:lpstr>Player_Profile</vt:lpstr>
      <vt:lpstr>Shortlist_Comparison</vt:lpstr>
      <vt:lpstr>Player_List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Ushnav Momaya</dc:creator>
  <cp:lastModifiedBy>Ushnav Momaya</cp:lastModifiedBy>
  <dcterms:created xsi:type="dcterms:W3CDTF">2025-12-22T09:56:55Z</dcterms:created>
  <dcterms:modified xsi:type="dcterms:W3CDTF">2025-12-29T06:54:21Z</dcterms:modified>
</cp:coreProperties>
</file>